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F4A94935-E21B-4264-8AA4-83981BD71E5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Юг" sheetId="1" r:id="rId1"/>
    <sheet name="Север" sheetId="2" r:id="rId2"/>
    <sheet name="Запад" sheetId="3" r:id="rId3"/>
    <sheet name="Восток" sheetId="4" r:id="rId4"/>
    <sheet name="Данные" sheetId="7" r:id="rId5"/>
    <sheet name="Графики" sheetId="8" r:id="rId6"/>
  </sheets>
  <definedNames>
    <definedName name="ВстроеннаяВременнаяШкала_Дата_продажи1">#N/A</definedName>
  </definedNames>
  <calcPr calcId="191029"/>
  <pivotCaches>
    <pivotCache cacheId="5" r:id="rId7"/>
    <pivotCache cacheId="6" r:id="rId8"/>
    <pivotCache cacheId="4" r:id="rId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I27" i="1"/>
  <c r="H27" i="1"/>
  <c r="K36" i="4" l="1"/>
  <c r="H36" i="4"/>
  <c r="J36" i="4" s="1"/>
  <c r="F36" i="4"/>
  <c r="L36" i="4" s="1"/>
  <c r="M36" i="4" s="1"/>
  <c r="E36" i="4"/>
  <c r="D36" i="4"/>
  <c r="C36" i="4"/>
  <c r="B36" i="4"/>
  <c r="K35" i="4"/>
  <c r="H35" i="4"/>
  <c r="J35" i="4" s="1"/>
  <c r="F35" i="4"/>
  <c r="G35" i="4" s="1"/>
  <c r="E35" i="4"/>
  <c r="D35" i="4"/>
  <c r="C35" i="4"/>
  <c r="B35" i="4"/>
  <c r="K34" i="4"/>
  <c r="H34" i="4"/>
  <c r="F34" i="4"/>
  <c r="L34" i="4" s="1"/>
  <c r="M34" i="4" s="1"/>
  <c r="E34" i="4"/>
  <c r="D34" i="4"/>
  <c r="C34" i="4"/>
  <c r="B34" i="4"/>
  <c r="K33" i="4"/>
  <c r="H33" i="4"/>
  <c r="J33" i="4" s="1"/>
  <c r="I33" i="4" s="1"/>
  <c r="F33" i="4"/>
  <c r="L33" i="4" s="1"/>
  <c r="M33" i="4" s="1"/>
  <c r="E33" i="4"/>
  <c r="D33" i="4"/>
  <c r="C33" i="4"/>
  <c r="B33" i="4"/>
  <c r="K32" i="4"/>
  <c r="H32" i="4"/>
  <c r="J32" i="4" s="1"/>
  <c r="F32" i="4"/>
  <c r="G32" i="4" s="1"/>
  <c r="E32" i="4"/>
  <c r="D32" i="4"/>
  <c r="C32" i="4"/>
  <c r="B32" i="4"/>
  <c r="K31" i="4"/>
  <c r="H31" i="4"/>
  <c r="J31" i="4" s="1"/>
  <c r="F31" i="4"/>
  <c r="L31" i="4" s="1"/>
  <c r="M31" i="4" s="1"/>
  <c r="E31" i="4"/>
  <c r="D31" i="4"/>
  <c r="C31" i="4"/>
  <c r="B31" i="4"/>
  <c r="K30" i="4"/>
  <c r="H30" i="4"/>
  <c r="J30" i="4" s="1"/>
  <c r="F30" i="4"/>
  <c r="L30" i="4" s="1"/>
  <c r="M30" i="4" s="1"/>
  <c r="E30" i="4"/>
  <c r="D30" i="4"/>
  <c r="C30" i="4"/>
  <c r="B30" i="4"/>
  <c r="K29" i="4"/>
  <c r="H29" i="4"/>
  <c r="J29" i="4" s="1"/>
  <c r="I29" i="4" s="1"/>
  <c r="F29" i="4"/>
  <c r="L29" i="4" s="1"/>
  <c r="M29" i="4" s="1"/>
  <c r="E29" i="4"/>
  <c r="D29" i="4"/>
  <c r="C29" i="4"/>
  <c r="B29" i="4"/>
  <c r="K28" i="4"/>
  <c r="H28" i="4"/>
  <c r="J28" i="4" s="1"/>
  <c r="F28" i="4"/>
  <c r="G28" i="4" s="1"/>
  <c r="E28" i="4"/>
  <c r="D28" i="4"/>
  <c r="C28" i="4"/>
  <c r="B28" i="4"/>
  <c r="K27" i="4"/>
  <c r="H27" i="4"/>
  <c r="J27" i="4" s="1"/>
  <c r="F27" i="4"/>
  <c r="L27" i="4" s="1"/>
  <c r="M27" i="4" s="1"/>
  <c r="E27" i="4"/>
  <c r="D27" i="4"/>
  <c r="C27" i="4"/>
  <c r="B27" i="4"/>
  <c r="K26" i="4"/>
  <c r="H26" i="4"/>
  <c r="F26" i="4"/>
  <c r="L26" i="4" s="1"/>
  <c r="M26" i="4" s="1"/>
  <c r="E26" i="4"/>
  <c r="D26" i="4"/>
  <c r="C26" i="4"/>
  <c r="B26" i="4"/>
  <c r="K25" i="4"/>
  <c r="H25" i="4"/>
  <c r="J25" i="4" s="1"/>
  <c r="I25" i="4" s="1"/>
  <c r="F25" i="4"/>
  <c r="L25" i="4" s="1"/>
  <c r="M25" i="4" s="1"/>
  <c r="E25" i="4"/>
  <c r="D25" i="4"/>
  <c r="C25" i="4"/>
  <c r="B25" i="4"/>
  <c r="K24" i="4"/>
  <c r="H24" i="4"/>
  <c r="J24" i="4" s="1"/>
  <c r="F24" i="4"/>
  <c r="G24" i="4" s="1"/>
  <c r="E24" i="4"/>
  <c r="D24" i="4"/>
  <c r="C24" i="4"/>
  <c r="B24" i="4"/>
  <c r="K23" i="4"/>
  <c r="H23" i="4"/>
  <c r="J23" i="4" s="1"/>
  <c r="F23" i="4"/>
  <c r="L23" i="4" s="1"/>
  <c r="M23" i="4" s="1"/>
  <c r="E23" i="4"/>
  <c r="D23" i="4"/>
  <c r="C23" i="4"/>
  <c r="B23" i="4"/>
  <c r="K22" i="4"/>
  <c r="H22" i="4"/>
  <c r="J22" i="4" s="1"/>
  <c r="F22" i="4"/>
  <c r="L22" i="4" s="1"/>
  <c r="M22" i="4" s="1"/>
  <c r="E22" i="4"/>
  <c r="D22" i="4"/>
  <c r="C22" i="4"/>
  <c r="B22" i="4"/>
  <c r="K21" i="4"/>
  <c r="H21" i="4"/>
  <c r="J21" i="4" s="1"/>
  <c r="I21" i="4" s="1"/>
  <c r="F21" i="4"/>
  <c r="L21" i="4" s="1"/>
  <c r="M21" i="4" s="1"/>
  <c r="E21" i="4"/>
  <c r="D21" i="4"/>
  <c r="C21" i="4"/>
  <c r="B21" i="4"/>
  <c r="K20" i="4"/>
  <c r="H20" i="4"/>
  <c r="J20" i="4" s="1"/>
  <c r="F20" i="4"/>
  <c r="L20" i="4" s="1"/>
  <c r="M20" i="4" s="1"/>
  <c r="E20" i="4"/>
  <c r="D20" i="4"/>
  <c r="C20" i="4"/>
  <c r="B20" i="4"/>
  <c r="K19" i="4"/>
  <c r="H19" i="4"/>
  <c r="J19" i="4" s="1"/>
  <c r="F19" i="4"/>
  <c r="G19" i="4" s="1"/>
  <c r="E19" i="4"/>
  <c r="D19" i="4"/>
  <c r="C19" i="4"/>
  <c r="B19" i="4"/>
  <c r="K18" i="4"/>
  <c r="J18" i="4"/>
  <c r="H18" i="4"/>
  <c r="F18" i="4"/>
  <c r="L18" i="4" s="1"/>
  <c r="M18" i="4" s="1"/>
  <c r="E18" i="4"/>
  <c r="D18" i="4"/>
  <c r="C18" i="4"/>
  <c r="B18" i="4"/>
  <c r="K17" i="4"/>
  <c r="H17" i="4"/>
  <c r="J17" i="4" s="1"/>
  <c r="I17" i="4" s="1"/>
  <c r="F17" i="4"/>
  <c r="L17" i="4" s="1"/>
  <c r="M17" i="4" s="1"/>
  <c r="E17" i="4"/>
  <c r="D17" i="4"/>
  <c r="C17" i="4"/>
  <c r="B17" i="4"/>
  <c r="K16" i="4"/>
  <c r="H16" i="4"/>
  <c r="J16" i="4" s="1"/>
  <c r="F16" i="4"/>
  <c r="G16" i="4" s="1"/>
  <c r="E16" i="4"/>
  <c r="D16" i="4"/>
  <c r="C16" i="4"/>
  <c r="B16" i="4"/>
  <c r="K15" i="4"/>
  <c r="H15" i="4"/>
  <c r="J15" i="4" s="1"/>
  <c r="F15" i="4"/>
  <c r="L15" i="4" s="1"/>
  <c r="M15" i="4" s="1"/>
  <c r="E15" i="4"/>
  <c r="D15" i="4"/>
  <c r="C15" i="4"/>
  <c r="B15" i="4"/>
  <c r="K14" i="4"/>
  <c r="H14" i="4"/>
  <c r="F14" i="4"/>
  <c r="L14" i="4" s="1"/>
  <c r="M14" i="4" s="1"/>
  <c r="E14" i="4"/>
  <c r="D14" i="4"/>
  <c r="C14" i="4"/>
  <c r="B14" i="4"/>
  <c r="K13" i="4"/>
  <c r="H13" i="4"/>
  <c r="J13" i="4" s="1"/>
  <c r="I13" i="4" s="1"/>
  <c r="F13" i="4"/>
  <c r="L13" i="4" s="1"/>
  <c r="M13" i="4" s="1"/>
  <c r="E13" i="4"/>
  <c r="D13" i="4"/>
  <c r="C13" i="4"/>
  <c r="B13" i="4"/>
  <c r="K12" i="4"/>
  <c r="H12" i="4"/>
  <c r="J12" i="4" s="1"/>
  <c r="F12" i="4"/>
  <c r="L12" i="4" s="1"/>
  <c r="M12" i="4" s="1"/>
  <c r="E12" i="4"/>
  <c r="D12" i="4"/>
  <c r="C12" i="4"/>
  <c r="B12" i="4"/>
  <c r="K11" i="4"/>
  <c r="H11" i="4"/>
  <c r="J11" i="4" s="1"/>
  <c r="F11" i="4"/>
  <c r="L11" i="4" s="1"/>
  <c r="M11" i="4" s="1"/>
  <c r="E11" i="4"/>
  <c r="D11" i="4"/>
  <c r="C11" i="4"/>
  <c r="B11" i="4"/>
  <c r="K10" i="4"/>
  <c r="H10" i="4"/>
  <c r="J10" i="4" s="1"/>
  <c r="F10" i="4"/>
  <c r="L10" i="4" s="1"/>
  <c r="M10" i="4" s="1"/>
  <c r="E10" i="4"/>
  <c r="D10" i="4"/>
  <c r="C10" i="4"/>
  <c r="B10" i="4"/>
  <c r="K9" i="4"/>
  <c r="H9" i="4"/>
  <c r="J9" i="4" s="1"/>
  <c r="I9" i="4" s="1"/>
  <c r="F9" i="4"/>
  <c r="L9" i="4" s="1"/>
  <c r="M9" i="4" s="1"/>
  <c r="E9" i="4"/>
  <c r="D9" i="4"/>
  <c r="C9" i="4"/>
  <c r="B9" i="4"/>
  <c r="K8" i="4"/>
  <c r="H8" i="4"/>
  <c r="J8" i="4" s="1"/>
  <c r="F8" i="4"/>
  <c r="G8" i="4" s="1"/>
  <c r="E8" i="4"/>
  <c r="D8" i="4"/>
  <c r="C8" i="4"/>
  <c r="B8" i="4"/>
  <c r="K7" i="4"/>
  <c r="H7" i="4"/>
  <c r="J7" i="4" s="1"/>
  <c r="F7" i="4"/>
  <c r="L7" i="4" s="1"/>
  <c r="M7" i="4" s="1"/>
  <c r="E7" i="4"/>
  <c r="D7" i="4"/>
  <c r="C7" i="4"/>
  <c r="B7" i="4"/>
  <c r="K6" i="4"/>
  <c r="H6" i="4"/>
  <c r="J6" i="4" s="1"/>
  <c r="F6" i="4"/>
  <c r="L6" i="4" s="1"/>
  <c r="M6" i="4" s="1"/>
  <c r="E6" i="4"/>
  <c r="D6" i="4"/>
  <c r="C6" i="4"/>
  <c r="B6" i="4"/>
  <c r="K5" i="4"/>
  <c r="H5" i="4"/>
  <c r="J5" i="4" s="1"/>
  <c r="I5" i="4" s="1"/>
  <c r="F5" i="4"/>
  <c r="L5" i="4" s="1"/>
  <c r="M5" i="4" s="1"/>
  <c r="E5" i="4"/>
  <c r="D5" i="4"/>
  <c r="C5" i="4"/>
  <c r="B5" i="4"/>
  <c r="K4" i="4"/>
  <c r="H4" i="4"/>
  <c r="J4" i="4" s="1"/>
  <c r="F4" i="4"/>
  <c r="L4" i="4" s="1"/>
  <c r="M4" i="4" s="1"/>
  <c r="E4" i="4"/>
  <c r="D4" i="4"/>
  <c r="C4" i="4"/>
  <c r="B4" i="4"/>
  <c r="K3" i="4"/>
  <c r="H3" i="4"/>
  <c r="J3" i="4" s="1"/>
  <c r="F3" i="4"/>
  <c r="G3" i="4" s="1"/>
  <c r="E3" i="4"/>
  <c r="D3" i="4"/>
  <c r="C3" i="4"/>
  <c r="B3" i="4"/>
  <c r="K36" i="3"/>
  <c r="H36" i="3"/>
  <c r="J36" i="3" s="1"/>
  <c r="I36" i="3" s="1"/>
  <c r="F36" i="3"/>
  <c r="L36" i="3" s="1"/>
  <c r="M36" i="3" s="1"/>
  <c r="E36" i="3"/>
  <c r="D36" i="3"/>
  <c r="C36" i="3"/>
  <c r="B36" i="3"/>
  <c r="K35" i="3"/>
  <c r="H35" i="3"/>
  <c r="J35" i="3" s="1"/>
  <c r="F35" i="3"/>
  <c r="G35" i="3" s="1"/>
  <c r="E35" i="3"/>
  <c r="D35" i="3"/>
  <c r="C35" i="3"/>
  <c r="B35" i="3"/>
  <c r="K34" i="3"/>
  <c r="H34" i="3"/>
  <c r="J34" i="3" s="1"/>
  <c r="I34" i="3" s="1"/>
  <c r="F34" i="3"/>
  <c r="L34" i="3" s="1"/>
  <c r="M34" i="3" s="1"/>
  <c r="E34" i="3"/>
  <c r="D34" i="3"/>
  <c r="C34" i="3"/>
  <c r="B34" i="3"/>
  <c r="K33" i="3"/>
  <c r="H33" i="3"/>
  <c r="J33" i="3" s="1"/>
  <c r="F33" i="3"/>
  <c r="L33" i="3" s="1"/>
  <c r="M33" i="3" s="1"/>
  <c r="E33" i="3"/>
  <c r="D33" i="3"/>
  <c r="C33" i="3"/>
  <c r="B33" i="3"/>
  <c r="K32" i="3"/>
  <c r="H32" i="3"/>
  <c r="J32" i="3" s="1"/>
  <c r="I32" i="3" s="1"/>
  <c r="F32" i="3"/>
  <c r="L32" i="3" s="1"/>
  <c r="M32" i="3" s="1"/>
  <c r="E32" i="3"/>
  <c r="D32" i="3"/>
  <c r="C32" i="3"/>
  <c r="B32" i="3"/>
  <c r="K31" i="3"/>
  <c r="H31" i="3"/>
  <c r="J31" i="3" s="1"/>
  <c r="F31" i="3"/>
  <c r="L31" i="3" s="1"/>
  <c r="M31" i="3" s="1"/>
  <c r="E31" i="3"/>
  <c r="D31" i="3"/>
  <c r="C31" i="3"/>
  <c r="B31" i="3"/>
  <c r="K30" i="3"/>
  <c r="H30" i="3"/>
  <c r="J30" i="3" s="1"/>
  <c r="I30" i="3" s="1"/>
  <c r="F30" i="3"/>
  <c r="G30" i="3" s="1"/>
  <c r="E30" i="3"/>
  <c r="D30" i="3"/>
  <c r="C30" i="3"/>
  <c r="B30" i="3"/>
  <c r="K29" i="3"/>
  <c r="H29" i="3"/>
  <c r="F29" i="3"/>
  <c r="L29" i="3" s="1"/>
  <c r="M29" i="3" s="1"/>
  <c r="E29" i="3"/>
  <c r="D29" i="3"/>
  <c r="C29" i="3"/>
  <c r="B29" i="3"/>
  <c r="K28" i="3"/>
  <c r="H28" i="3"/>
  <c r="J28" i="3" s="1"/>
  <c r="I28" i="3" s="1"/>
  <c r="F28" i="3"/>
  <c r="L28" i="3" s="1"/>
  <c r="M28" i="3" s="1"/>
  <c r="E28" i="3"/>
  <c r="D28" i="3"/>
  <c r="C28" i="3"/>
  <c r="B28" i="3"/>
  <c r="K27" i="3"/>
  <c r="H27" i="3"/>
  <c r="J27" i="3" s="1"/>
  <c r="F27" i="3"/>
  <c r="G27" i="3" s="1"/>
  <c r="E27" i="3"/>
  <c r="D27" i="3"/>
  <c r="C27" i="3"/>
  <c r="B27" i="3"/>
  <c r="K26" i="3"/>
  <c r="H26" i="3"/>
  <c r="J26" i="3" s="1"/>
  <c r="F26" i="3"/>
  <c r="L26" i="3" s="1"/>
  <c r="M26" i="3" s="1"/>
  <c r="E26" i="3"/>
  <c r="D26" i="3"/>
  <c r="C26" i="3"/>
  <c r="B26" i="3"/>
  <c r="K25" i="3"/>
  <c r="H25" i="3"/>
  <c r="J25" i="3" s="1"/>
  <c r="F25" i="3"/>
  <c r="L25" i="3" s="1"/>
  <c r="M25" i="3" s="1"/>
  <c r="E25" i="3"/>
  <c r="D25" i="3"/>
  <c r="C25" i="3"/>
  <c r="B25" i="3"/>
  <c r="K24" i="3"/>
  <c r="H24" i="3"/>
  <c r="J24" i="3" s="1"/>
  <c r="I24" i="3" s="1"/>
  <c r="F24" i="3"/>
  <c r="G24" i="3" s="1"/>
  <c r="E24" i="3"/>
  <c r="D24" i="3"/>
  <c r="C24" i="3"/>
  <c r="B24" i="3"/>
  <c r="K23" i="3"/>
  <c r="H23" i="3"/>
  <c r="J23" i="3" s="1"/>
  <c r="F23" i="3"/>
  <c r="G23" i="3" s="1"/>
  <c r="E23" i="3"/>
  <c r="D23" i="3"/>
  <c r="C23" i="3"/>
  <c r="B23" i="3"/>
  <c r="K22" i="3"/>
  <c r="H22" i="3"/>
  <c r="J22" i="3" s="1"/>
  <c r="F22" i="3"/>
  <c r="L22" i="3" s="1"/>
  <c r="M22" i="3" s="1"/>
  <c r="E22" i="3"/>
  <c r="D22" i="3"/>
  <c r="C22" i="3"/>
  <c r="B22" i="3"/>
  <c r="K21" i="3"/>
  <c r="H21" i="3"/>
  <c r="J21" i="3" s="1"/>
  <c r="F21" i="3"/>
  <c r="L21" i="3" s="1"/>
  <c r="M21" i="3" s="1"/>
  <c r="E21" i="3"/>
  <c r="D21" i="3"/>
  <c r="C21" i="3"/>
  <c r="B21" i="3"/>
  <c r="K20" i="3"/>
  <c r="H20" i="3"/>
  <c r="J20" i="3" s="1"/>
  <c r="I20" i="3" s="1"/>
  <c r="F20" i="3"/>
  <c r="G20" i="3" s="1"/>
  <c r="E20" i="3"/>
  <c r="D20" i="3"/>
  <c r="C20" i="3"/>
  <c r="B20" i="3"/>
  <c r="K19" i="3"/>
  <c r="H19" i="3"/>
  <c r="J19" i="3" s="1"/>
  <c r="F19" i="3"/>
  <c r="G19" i="3" s="1"/>
  <c r="E19" i="3"/>
  <c r="D19" i="3"/>
  <c r="C19" i="3"/>
  <c r="B19" i="3"/>
  <c r="K18" i="3"/>
  <c r="H18" i="3"/>
  <c r="J18" i="3" s="1"/>
  <c r="F18" i="3"/>
  <c r="L18" i="3" s="1"/>
  <c r="M18" i="3" s="1"/>
  <c r="E18" i="3"/>
  <c r="D18" i="3"/>
  <c r="C18" i="3"/>
  <c r="B18" i="3"/>
  <c r="K17" i="3"/>
  <c r="H17" i="3"/>
  <c r="J17" i="3" s="1"/>
  <c r="F17" i="3"/>
  <c r="L17" i="3" s="1"/>
  <c r="M17" i="3" s="1"/>
  <c r="E17" i="3"/>
  <c r="D17" i="3"/>
  <c r="C17" i="3"/>
  <c r="B17" i="3"/>
  <c r="K16" i="3"/>
  <c r="H16" i="3"/>
  <c r="J16" i="3" s="1"/>
  <c r="I16" i="3" s="1"/>
  <c r="F16" i="3"/>
  <c r="G16" i="3" s="1"/>
  <c r="E16" i="3"/>
  <c r="D16" i="3"/>
  <c r="C16" i="3"/>
  <c r="B16" i="3"/>
  <c r="K15" i="3"/>
  <c r="H15" i="3"/>
  <c r="J15" i="3" s="1"/>
  <c r="F15" i="3"/>
  <c r="G15" i="3" s="1"/>
  <c r="E15" i="3"/>
  <c r="D15" i="3"/>
  <c r="C15" i="3"/>
  <c r="B15" i="3"/>
  <c r="K14" i="3"/>
  <c r="H14" i="3"/>
  <c r="J14" i="3" s="1"/>
  <c r="F14" i="3"/>
  <c r="L14" i="3" s="1"/>
  <c r="M14" i="3" s="1"/>
  <c r="E14" i="3"/>
  <c r="D14" i="3"/>
  <c r="C14" i="3"/>
  <c r="B14" i="3"/>
  <c r="K13" i="3"/>
  <c r="H13" i="3"/>
  <c r="J13" i="3" s="1"/>
  <c r="F13" i="3"/>
  <c r="L13" i="3" s="1"/>
  <c r="M13" i="3" s="1"/>
  <c r="E13" i="3"/>
  <c r="D13" i="3"/>
  <c r="C13" i="3"/>
  <c r="B13" i="3"/>
  <c r="K12" i="3"/>
  <c r="H12" i="3"/>
  <c r="J12" i="3" s="1"/>
  <c r="I12" i="3" s="1"/>
  <c r="F12" i="3"/>
  <c r="G12" i="3" s="1"/>
  <c r="E12" i="3"/>
  <c r="D12" i="3"/>
  <c r="C12" i="3"/>
  <c r="B12" i="3"/>
  <c r="K11" i="3"/>
  <c r="H11" i="3"/>
  <c r="J11" i="3" s="1"/>
  <c r="F11" i="3"/>
  <c r="G11" i="3" s="1"/>
  <c r="E11" i="3"/>
  <c r="D11" i="3"/>
  <c r="C11" i="3"/>
  <c r="B11" i="3"/>
  <c r="K10" i="3"/>
  <c r="H10" i="3"/>
  <c r="J10" i="3" s="1"/>
  <c r="F10" i="3"/>
  <c r="L10" i="3" s="1"/>
  <c r="M10" i="3" s="1"/>
  <c r="E10" i="3"/>
  <c r="D10" i="3"/>
  <c r="C10" i="3"/>
  <c r="B10" i="3"/>
  <c r="K9" i="3"/>
  <c r="H9" i="3"/>
  <c r="J9" i="3" s="1"/>
  <c r="F9" i="3"/>
  <c r="L9" i="3" s="1"/>
  <c r="M9" i="3" s="1"/>
  <c r="E9" i="3"/>
  <c r="D9" i="3"/>
  <c r="C9" i="3"/>
  <c r="B9" i="3"/>
  <c r="K8" i="3"/>
  <c r="H8" i="3"/>
  <c r="J8" i="3" s="1"/>
  <c r="I8" i="3" s="1"/>
  <c r="F8" i="3"/>
  <c r="G8" i="3" s="1"/>
  <c r="E8" i="3"/>
  <c r="D8" i="3"/>
  <c r="C8" i="3"/>
  <c r="B8" i="3"/>
  <c r="K7" i="3"/>
  <c r="H7" i="3"/>
  <c r="J7" i="3" s="1"/>
  <c r="F7" i="3"/>
  <c r="G7" i="3" s="1"/>
  <c r="E7" i="3"/>
  <c r="D7" i="3"/>
  <c r="C7" i="3"/>
  <c r="B7" i="3"/>
  <c r="K6" i="3"/>
  <c r="H6" i="3"/>
  <c r="J6" i="3" s="1"/>
  <c r="F6" i="3"/>
  <c r="L6" i="3" s="1"/>
  <c r="M6" i="3" s="1"/>
  <c r="E6" i="3"/>
  <c r="D6" i="3"/>
  <c r="C6" i="3"/>
  <c r="B6" i="3"/>
  <c r="K5" i="3"/>
  <c r="H5" i="3"/>
  <c r="J5" i="3" s="1"/>
  <c r="F5" i="3"/>
  <c r="L5" i="3" s="1"/>
  <c r="M5" i="3" s="1"/>
  <c r="E5" i="3"/>
  <c r="D5" i="3"/>
  <c r="C5" i="3"/>
  <c r="B5" i="3"/>
  <c r="K4" i="3"/>
  <c r="H4" i="3"/>
  <c r="J4" i="3" s="1"/>
  <c r="I4" i="3" s="1"/>
  <c r="F4" i="3"/>
  <c r="G4" i="3" s="1"/>
  <c r="E4" i="3"/>
  <c r="D4" i="3"/>
  <c r="C4" i="3"/>
  <c r="B4" i="3"/>
  <c r="K3" i="3"/>
  <c r="H3" i="3"/>
  <c r="J3" i="3" s="1"/>
  <c r="F3" i="3"/>
  <c r="G3" i="3" s="1"/>
  <c r="E3" i="3"/>
  <c r="D3" i="3"/>
  <c r="C3" i="3"/>
  <c r="B3" i="3"/>
  <c r="K36" i="2"/>
  <c r="H36" i="2"/>
  <c r="J36" i="2" s="1"/>
  <c r="F36" i="2"/>
  <c r="L36" i="2" s="1"/>
  <c r="M36" i="2" s="1"/>
  <c r="E36" i="2"/>
  <c r="D36" i="2"/>
  <c r="C36" i="2"/>
  <c r="B36" i="2"/>
  <c r="K35" i="2"/>
  <c r="H35" i="2"/>
  <c r="J35" i="2" s="1"/>
  <c r="F35" i="2"/>
  <c r="L35" i="2" s="1"/>
  <c r="M35" i="2" s="1"/>
  <c r="E35" i="2"/>
  <c r="D35" i="2"/>
  <c r="C35" i="2"/>
  <c r="B35" i="2"/>
  <c r="K34" i="2"/>
  <c r="H34" i="2"/>
  <c r="J34" i="2" s="1"/>
  <c r="I34" i="2" s="1"/>
  <c r="F34" i="2"/>
  <c r="L34" i="2" s="1"/>
  <c r="M34" i="2" s="1"/>
  <c r="E34" i="2"/>
  <c r="D34" i="2"/>
  <c r="C34" i="2"/>
  <c r="B34" i="2"/>
  <c r="K33" i="2"/>
  <c r="H33" i="2"/>
  <c r="J33" i="2" s="1"/>
  <c r="I33" i="2" s="1"/>
  <c r="F33" i="2"/>
  <c r="L33" i="2" s="1"/>
  <c r="M33" i="2" s="1"/>
  <c r="E33" i="2"/>
  <c r="D33" i="2"/>
  <c r="C33" i="2"/>
  <c r="B33" i="2"/>
  <c r="K32" i="2"/>
  <c r="H32" i="2"/>
  <c r="J32" i="2" s="1"/>
  <c r="I32" i="2" s="1"/>
  <c r="F32" i="2"/>
  <c r="L32" i="2" s="1"/>
  <c r="M32" i="2" s="1"/>
  <c r="E32" i="2"/>
  <c r="D32" i="2"/>
  <c r="C32" i="2"/>
  <c r="B32" i="2"/>
  <c r="K31" i="2"/>
  <c r="H31" i="2"/>
  <c r="J31" i="2" s="1"/>
  <c r="F31" i="2"/>
  <c r="L31" i="2" s="1"/>
  <c r="M31" i="2" s="1"/>
  <c r="E31" i="2"/>
  <c r="D31" i="2"/>
  <c r="C31" i="2"/>
  <c r="B31" i="2"/>
  <c r="K30" i="2"/>
  <c r="H30" i="2"/>
  <c r="J30" i="2" s="1"/>
  <c r="I30" i="2" s="1"/>
  <c r="F30" i="2"/>
  <c r="L30" i="2" s="1"/>
  <c r="M30" i="2" s="1"/>
  <c r="E30" i="2"/>
  <c r="D30" i="2"/>
  <c r="C30" i="2"/>
  <c r="B30" i="2"/>
  <c r="K29" i="2"/>
  <c r="H29" i="2"/>
  <c r="J29" i="2" s="1"/>
  <c r="I29" i="2" s="1"/>
  <c r="F29" i="2"/>
  <c r="L29" i="2" s="1"/>
  <c r="M29" i="2" s="1"/>
  <c r="E29" i="2"/>
  <c r="D29" i="2"/>
  <c r="C29" i="2"/>
  <c r="B29" i="2"/>
  <c r="K28" i="2"/>
  <c r="H28" i="2"/>
  <c r="J28" i="2" s="1"/>
  <c r="I28" i="2" s="1"/>
  <c r="F28" i="2"/>
  <c r="L28" i="2" s="1"/>
  <c r="M28" i="2" s="1"/>
  <c r="E28" i="2"/>
  <c r="D28" i="2"/>
  <c r="C28" i="2"/>
  <c r="B28" i="2"/>
  <c r="K27" i="2"/>
  <c r="H27" i="2"/>
  <c r="J27" i="2" s="1"/>
  <c r="F27" i="2"/>
  <c r="L27" i="2" s="1"/>
  <c r="M27" i="2" s="1"/>
  <c r="E27" i="2"/>
  <c r="D27" i="2"/>
  <c r="C27" i="2"/>
  <c r="B27" i="2"/>
  <c r="K26" i="2"/>
  <c r="H26" i="2"/>
  <c r="J26" i="2" s="1"/>
  <c r="I26" i="2" s="1"/>
  <c r="F26" i="2"/>
  <c r="L26" i="2" s="1"/>
  <c r="M26" i="2" s="1"/>
  <c r="E26" i="2"/>
  <c r="D26" i="2"/>
  <c r="C26" i="2"/>
  <c r="B26" i="2"/>
  <c r="K25" i="2"/>
  <c r="H25" i="2"/>
  <c r="J25" i="2" s="1"/>
  <c r="I25" i="2" s="1"/>
  <c r="F25" i="2"/>
  <c r="L25" i="2" s="1"/>
  <c r="M25" i="2" s="1"/>
  <c r="E25" i="2"/>
  <c r="D25" i="2"/>
  <c r="C25" i="2"/>
  <c r="B25" i="2"/>
  <c r="K24" i="2"/>
  <c r="H24" i="2"/>
  <c r="J24" i="2" s="1"/>
  <c r="I24" i="2" s="1"/>
  <c r="F24" i="2"/>
  <c r="L24" i="2" s="1"/>
  <c r="M24" i="2" s="1"/>
  <c r="E24" i="2"/>
  <c r="D24" i="2"/>
  <c r="C24" i="2"/>
  <c r="B24" i="2"/>
  <c r="K23" i="2"/>
  <c r="H23" i="2"/>
  <c r="J23" i="2" s="1"/>
  <c r="F23" i="2"/>
  <c r="L23" i="2" s="1"/>
  <c r="M23" i="2" s="1"/>
  <c r="E23" i="2"/>
  <c r="D23" i="2"/>
  <c r="C23" i="2"/>
  <c r="B23" i="2"/>
  <c r="K22" i="2"/>
  <c r="H22" i="2"/>
  <c r="J22" i="2" s="1"/>
  <c r="I22" i="2" s="1"/>
  <c r="F22" i="2"/>
  <c r="L22" i="2" s="1"/>
  <c r="M22" i="2" s="1"/>
  <c r="E22" i="2"/>
  <c r="D22" i="2"/>
  <c r="C22" i="2"/>
  <c r="B22" i="2"/>
  <c r="K21" i="2"/>
  <c r="H21" i="2"/>
  <c r="J21" i="2" s="1"/>
  <c r="I21" i="2" s="1"/>
  <c r="F21" i="2"/>
  <c r="L21" i="2" s="1"/>
  <c r="M21" i="2" s="1"/>
  <c r="E21" i="2"/>
  <c r="D21" i="2"/>
  <c r="C21" i="2"/>
  <c r="B21" i="2"/>
  <c r="K20" i="2"/>
  <c r="H20" i="2"/>
  <c r="J20" i="2" s="1"/>
  <c r="I20" i="2" s="1"/>
  <c r="F20" i="2"/>
  <c r="L20" i="2" s="1"/>
  <c r="M20" i="2" s="1"/>
  <c r="E20" i="2"/>
  <c r="D20" i="2"/>
  <c r="C20" i="2"/>
  <c r="B20" i="2"/>
  <c r="K19" i="2"/>
  <c r="H19" i="2"/>
  <c r="J19" i="2" s="1"/>
  <c r="F19" i="2"/>
  <c r="L19" i="2" s="1"/>
  <c r="M19" i="2" s="1"/>
  <c r="E19" i="2"/>
  <c r="D19" i="2"/>
  <c r="C19" i="2"/>
  <c r="B19" i="2"/>
  <c r="K18" i="2"/>
  <c r="H18" i="2"/>
  <c r="J18" i="2" s="1"/>
  <c r="I18" i="2" s="1"/>
  <c r="F18" i="2"/>
  <c r="L18" i="2" s="1"/>
  <c r="M18" i="2" s="1"/>
  <c r="E18" i="2"/>
  <c r="D18" i="2"/>
  <c r="C18" i="2"/>
  <c r="B18" i="2"/>
  <c r="K17" i="2"/>
  <c r="H17" i="2"/>
  <c r="J17" i="2" s="1"/>
  <c r="I17" i="2" s="1"/>
  <c r="F17" i="2"/>
  <c r="L17" i="2" s="1"/>
  <c r="M17" i="2" s="1"/>
  <c r="E17" i="2"/>
  <c r="D17" i="2"/>
  <c r="C17" i="2"/>
  <c r="B17" i="2"/>
  <c r="K16" i="2"/>
  <c r="H16" i="2"/>
  <c r="J16" i="2" s="1"/>
  <c r="I16" i="2" s="1"/>
  <c r="F16" i="2"/>
  <c r="L16" i="2" s="1"/>
  <c r="M16" i="2" s="1"/>
  <c r="E16" i="2"/>
  <c r="D16" i="2"/>
  <c r="C16" i="2"/>
  <c r="B16" i="2"/>
  <c r="K15" i="2"/>
  <c r="H15" i="2"/>
  <c r="J15" i="2" s="1"/>
  <c r="F15" i="2"/>
  <c r="L15" i="2" s="1"/>
  <c r="M15" i="2" s="1"/>
  <c r="E15" i="2"/>
  <c r="D15" i="2"/>
  <c r="C15" i="2"/>
  <c r="B15" i="2"/>
  <c r="K14" i="2"/>
  <c r="H14" i="2"/>
  <c r="J14" i="2" s="1"/>
  <c r="I14" i="2" s="1"/>
  <c r="F14" i="2"/>
  <c r="G14" i="2" s="1"/>
  <c r="E14" i="2"/>
  <c r="D14" i="2"/>
  <c r="C14" i="2"/>
  <c r="B14" i="2"/>
  <c r="K13" i="2"/>
  <c r="H13" i="2"/>
  <c r="J13" i="2" s="1"/>
  <c r="I13" i="2" s="1"/>
  <c r="F13" i="2"/>
  <c r="L13" i="2" s="1"/>
  <c r="M13" i="2" s="1"/>
  <c r="E13" i="2"/>
  <c r="D13" i="2"/>
  <c r="C13" i="2"/>
  <c r="B13" i="2"/>
  <c r="K12" i="2"/>
  <c r="H12" i="2"/>
  <c r="J12" i="2" s="1"/>
  <c r="F12" i="2"/>
  <c r="L12" i="2" s="1"/>
  <c r="M12" i="2" s="1"/>
  <c r="E12" i="2"/>
  <c r="D12" i="2"/>
  <c r="C12" i="2"/>
  <c r="B12" i="2"/>
  <c r="K11" i="2"/>
  <c r="H11" i="2"/>
  <c r="J11" i="2" s="1"/>
  <c r="F11" i="2"/>
  <c r="G11" i="2" s="1"/>
  <c r="E11" i="2"/>
  <c r="D11" i="2"/>
  <c r="C11" i="2"/>
  <c r="B11" i="2"/>
  <c r="K10" i="2"/>
  <c r="H10" i="2"/>
  <c r="J10" i="2" s="1"/>
  <c r="I10" i="2" s="1"/>
  <c r="F10" i="2"/>
  <c r="G10" i="2" s="1"/>
  <c r="E10" i="2"/>
  <c r="D10" i="2"/>
  <c r="C10" i="2"/>
  <c r="B10" i="2"/>
  <c r="K9" i="2"/>
  <c r="H9" i="2"/>
  <c r="J9" i="2" s="1"/>
  <c r="I9" i="2" s="1"/>
  <c r="F9" i="2"/>
  <c r="L9" i="2" s="1"/>
  <c r="M9" i="2" s="1"/>
  <c r="E9" i="2"/>
  <c r="D9" i="2"/>
  <c r="C9" i="2"/>
  <c r="B9" i="2"/>
  <c r="K8" i="2"/>
  <c r="H8" i="2"/>
  <c r="J8" i="2" s="1"/>
  <c r="I8" i="2" s="1"/>
  <c r="F8" i="2"/>
  <c r="L8" i="2" s="1"/>
  <c r="M8" i="2" s="1"/>
  <c r="E8" i="2"/>
  <c r="D8" i="2"/>
  <c r="C8" i="2"/>
  <c r="B8" i="2"/>
  <c r="K7" i="2"/>
  <c r="H7" i="2"/>
  <c r="J7" i="2" s="1"/>
  <c r="F7" i="2"/>
  <c r="G7" i="2" s="1"/>
  <c r="E7" i="2"/>
  <c r="D7" i="2"/>
  <c r="C7" i="2"/>
  <c r="B7" i="2"/>
  <c r="K6" i="2"/>
  <c r="H6" i="2"/>
  <c r="J6" i="2" s="1"/>
  <c r="I6" i="2" s="1"/>
  <c r="F6" i="2"/>
  <c r="L6" i="2" s="1"/>
  <c r="M6" i="2" s="1"/>
  <c r="E6" i="2"/>
  <c r="D6" i="2"/>
  <c r="C6" i="2"/>
  <c r="B6" i="2"/>
  <c r="K5" i="2"/>
  <c r="H5" i="2"/>
  <c r="J5" i="2" s="1"/>
  <c r="I5" i="2" s="1"/>
  <c r="F5" i="2"/>
  <c r="L5" i="2" s="1"/>
  <c r="M5" i="2" s="1"/>
  <c r="E5" i="2"/>
  <c r="D5" i="2"/>
  <c r="C5" i="2"/>
  <c r="B5" i="2"/>
  <c r="K4" i="2"/>
  <c r="H4" i="2"/>
  <c r="J4" i="2" s="1"/>
  <c r="F4" i="2"/>
  <c r="L4" i="2" s="1"/>
  <c r="M4" i="2" s="1"/>
  <c r="E4" i="2"/>
  <c r="D4" i="2"/>
  <c r="C4" i="2"/>
  <c r="B4" i="2"/>
  <c r="K3" i="2"/>
  <c r="H3" i="2"/>
  <c r="J3" i="2" s="1"/>
  <c r="F3" i="2"/>
  <c r="E3" i="2"/>
  <c r="D3" i="2"/>
  <c r="C3" i="2"/>
  <c r="B3" i="2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" i="1"/>
  <c r="K4" i="1"/>
  <c r="K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" i="1"/>
  <c r="D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8" i="1"/>
  <c r="C29" i="1"/>
  <c r="C30" i="1"/>
  <c r="C31" i="1"/>
  <c r="C32" i="1"/>
  <c r="C33" i="1"/>
  <c r="C34" i="1"/>
  <c r="C35" i="1"/>
  <c r="C36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" i="1"/>
  <c r="N13" i="4" l="1"/>
  <c r="G3" i="2"/>
  <c r="L3" i="2"/>
  <c r="M3" i="2" s="1"/>
  <c r="N28" i="2"/>
  <c r="N30" i="2"/>
  <c r="L27" i="3"/>
  <c r="M27" i="3" s="1"/>
  <c r="N21" i="4"/>
  <c r="N25" i="4"/>
  <c r="N29" i="4"/>
  <c r="N33" i="4"/>
  <c r="J14" i="4"/>
  <c r="I14" i="4" s="1"/>
  <c r="N14" i="4" s="1"/>
  <c r="G15" i="4"/>
  <c r="N13" i="2"/>
  <c r="N17" i="2"/>
  <c r="N33" i="2"/>
  <c r="N5" i="2"/>
  <c r="N9" i="2"/>
  <c r="N25" i="2"/>
  <c r="G34" i="3"/>
  <c r="I18" i="4"/>
  <c r="N18" i="4" s="1"/>
  <c r="I30" i="4"/>
  <c r="N30" i="4" s="1"/>
  <c r="G31" i="4"/>
  <c r="G27" i="2"/>
  <c r="G18" i="2"/>
  <c r="G19" i="2"/>
  <c r="N22" i="2"/>
  <c r="G34" i="2"/>
  <c r="G35" i="2"/>
  <c r="G4" i="4"/>
  <c r="N5" i="4"/>
  <c r="N9" i="4"/>
  <c r="N17" i="4"/>
  <c r="G36" i="4"/>
  <c r="G26" i="2"/>
  <c r="G20" i="4"/>
  <c r="J34" i="4"/>
  <c r="I34" i="4" s="1"/>
  <c r="N34" i="4" s="1"/>
  <c r="L16" i="4"/>
  <c r="M16" i="4" s="1"/>
  <c r="L32" i="4"/>
  <c r="M32" i="4" s="1"/>
  <c r="G32" i="3"/>
  <c r="I10" i="4"/>
  <c r="N10" i="4" s="1"/>
  <c r="G11" i="4"/>
  <c r="G27" i="4"/>
  <c r="L28" i="4"/>
  <c r="M28" i="4" s="1"/>
  <c r="G15" i="2"/>
  <c r="G30" i="2"/>
  <c r="N34" i="2"/>
  <c r="L3" i="4"/>
  <c r="M3" i="4" s="1"/>
  <c r="I6" i="4"/>
  <c r="N6" i="4" s="1"/>
  <c r="G7" i="4"/>
  <c r="L8" i="4"/>
  <c r="M8" i="4" s="1"/>
  <c r="G12" i="4"/>
  <c r="L19" i="4"/>
  <c r="M19" i="4" s="1"/>
  <c r="I22" i="4"/>
  <c r="N22" i="4" s="1"/>
  <c r="G23" i="4"/>
  <c r="L24" i="4"/>
  <c r="M24" i="4" s="1"/>
  <c r="J26" i="4"/>
  <c r="I26" i="4" s="1"/>
  <c r="N26" i="4" s="1"/>
  <c r="L35" i="4"/>
  <c r="M35" i="4" s="1"/>
  <c r="I6" i="3"/>
  <c r="N6" i="3" s="1"/>
  <c r="I14" i="3"/>
  <c r="N14" i="3" s="1"/>
  <c r="I22" i="3"/>
  <c r="N22" i="3" s="1"/>
  <c r="G31" i="3"/>
  <c r="G12" i="2"/>
  <c r="N18" i="2"/>
  <c r="G22" i="2"/>
  <c r="G23" i="2"/>
  <c r="N26" i="2"/>
  <c r="G31" i="2"/>
  <c r="G4" i="2"/>
  <c r="I10" i="3"/>
  <c r="N10" i="3" s="1"/>
  <c r="I18" i="3"/>
  <c r="N18" i="3" s="1"/>
  <c r="I26" i="3"/>
  <c r="N26" i="3" s="1"/>
  <c r="G28" i="3"/>
  <c r="G36" i="3"/>
  <c r="L30" i="3"/>
  <c r="M30" i="3" s="1"/>
  <c r="L3" i="3"/>
  <c r="M3" i="3" s="1"/>
  <c r="I5" i="3"/>
  <c r="N5" i="3" s="1"/>
  <c r="G6" i="3"/>
  <c r="L7" i="3"/>
  <c r="M7" i="3" s="1"/>
  <c r="I9" i="3"/>
  <c r="N9" i="3" s="1"/>
  <c r="G10" i="3"/>
  <c r="L11" i="3"/>
  <c r="M11" i="3" s="1"/>
  <c r="I13" i="3"/>
  <c r="N13" i="3" s="1"/>
  <c r="G14" i="3"/>
  <c r="L15" i="3"/>
  <c r="M15" i="3" s="1"/>
  <c r="I17" i="3"/>
  <c r="N17" i="3" s="1"/>
  <c r="G18" i="3"/>
  <c r="L19" i="3"/>
  <c r="M19" i="3" s="1"/>
  <c r="I21" i="3"/>
  <c r="N21" i="3" s="1"/>
  <c r="G22" i="3"/>
  <c r="L23" i="3"/>
  <c r="M23" i="3" s="1"/>
  <c r="I25" i="3"/>
  <c r="N25" i="3" s="1"/>
  <c r="G26" i="3"/>
  <c r="L35" i="3"/>
  <c r="M35" i="3" s="1"/>
  <c r="I3" i="4"/>
  <c r="N3" i="4" s="1"/>
  <c r="G5" i="4"/>
  <c r="I7" i="4"/>
  <c r="N7" i="4" s="1"/>
  <c r="G9" i="4"/>
  <c r="I11" i="4"/>
  <c r="N11" i="4" s="1"/>
  <c r="G13" i="4"/>
  <c r="I15" i="4"/>
  <c r="N15" i="4" s="1"/>
  <c r="G17" i="4"/>
  <c r="I19" i="4"/>
  <c r="N19" i="4" s="1"/>
  <c r="G21" i="4"/>
  <c r="I23" i="4"/>
  <c r="N23" i="4" s="1"/>
  <c r="G25" i="4"/>
  <c r="I27" i="4"/>
  <c r="N27" i="4" s="1"/>
  <c r="G29" i="4"/>
  <c r="I31" i="4"/>
  <c r="N31" i="4" s="1"/>
  <c r="G33" i="4"/>
  <c r="I35" i="4"/>
  <c r="N35" i="4" s="1"/>
  <c r="I33" i="3"/>
  <c r="N33" i="3" s="1"/>
  <c r="N16" i="2"/>
  <c r="N24" i="2"/>
  <c r="N32" i="2"/>
  <c r="L4" i="3"/>
  <c r="M4" i="3" s="1"/>
  <c r="L8" i="3"/>
  <c r="M8" i="3" s="1"/>
  <c r="L12" i="3"/>
  <c r="M12" i="3" s="1"/>
  <c r="L16" i="3"/>
  <c r="M16" i="3" s="1"/>
  <c r="L20" i="3"/>
  <c r="M20" i="3" s="1"/>
  <c r="L24" i="3"/>
  <c r="M24" i="3" s="1"/>
  <c r="J29" i="3"/>
  <c r="I29" i="3" s="1"/>
  <c r="N29" i="3" s="1"/>
  <c r="N32" i="3"/>
  <c r="N34" i="3"/>
  <c r="I4" i="4"/>
  <c r="N4" i="4" s="1"/>
  <c r="G6" i="4"/>
  <c r="I8" i="4"/>
  <c r="N8" i="4" s="1"/>
  <c r="G10" i="4"/>
  <c r="I12" i="4"/>
  <c r="N12" i="4" s="1"/>
  <c r="G14" i="4"/>
  <c r="I16" i="4"/>
  <c r="N16" i="4" s="1"/>
  <c r="G18" i="4"/>
  <c r="I20" i="4"/>
  <c r="N20" i="4" s="1"/>
  <c r="G22" i="4"/>
  <c r="I24" i="4"/>
  <c r="N24" i="4" s="1"/>
  <c r="G26" i="4"/>
  <c r="I28" i="4"/>
  <c r="N28" i="4" s="1"/>
  <c r="G30" i="4"/>
  <c r="I32" i="4"/>
  <c r="N32" i="4" s="1"/>
  <c r="G34" i="4"/>
  <c r="I36" i="4"/>
  <c r="N36" i="4" s="1"/>
  <c r="G8" i="2"/>
  <c r="N21" i="2"/>
  <c r="N29" i="2"/>
  <c r="N30" i="3"/>
  <c r="N4" i="3"/>
  <c r="N8" i="3"/>
  <c r="N12" i="3"/>
  <c r="N16" i="3"/>
  <c r="N20" i="3"/>
  <c r="N24" i="3"/>
  <c r="N28" i="3"/>
  <c r="N36" i="3"/>
  <c r="L10" i="2"/>
  <c r="M10" i="2" s="1"/>
  <c r="I4" i="2"/>
  <c r="N4" i="2" s="1"/>
  <c r="G6" i="2"/>
  <c r="I12" i="2"/>
  <c r="N12" i="2" s="1"/>
  <c r="N20" i="2"/>
  <c r="I3" i="3"/>
  <c r="N3" i="3" s="1"/>
  <c r="G5" i="3"/>
  <c r="I7" i="3"/>
  <c r="N7" i="3" s="1"/>
  <c r="G9" i="3"/>
  <c r="I11" i="3"/>
  <c r="N11" i="3" s="1"/>
  <c r="G13" i="3"/>
  <c r="I15" i="3"/>
  <c r="N15" i="3" s="1"/>
  <c r="G17" i="3"/>
  <c r="I19" i="3"/>
  <c r="N19" i="3" s="1"/>
  <c r="G21" i="3"/>
  <c r="I23" i="3"/>
  <c r="N23" i="3" s="1"/>
  <c r="G25" i="3"/>
  <c r="I27" i="3"/>
  <c r="N27" i="3" s="1"/>
  <c r="G29" i="3"/>
  <c r="I31" i="3"/>
  <c r="N31" i="3" s="1"/>
  <c r="G33" i="3"/>
  <c r="I35" i="3"/>
  <c r="N35" i="3" s="1"/>
  <c r="L7" i="2"/>
  <c r="M7" i="2" s="1"/>
  <c r="N8" i="2"/>
  <c r="L11" i="2"/>
  <c r="M11" i="2" s="1"/>
  <c r="N14" i="2"/>
  <c r="L14" i="2"/>
  <c r="M14" i="2" s="1"/>
  <c r="G16" i="2"/>
  <c r="G20" i="2"/>
  <c r="G24" i="2"/>
  <c r="G28" i="2"/>
  <c r="G32" i="2"/>
  <c r="G36" i="2"/>
  <c r="N6" i="2"/>
  <c r="N10" i="2"/>
  <c r="I3" i="2"/>
  <c r="N3" i="2" s="1"/>
  <c r="G5" i="2"/>
  <c r="I7" i="2"/>
  <c r="N7" i="2" s="1"/>
  <c r="G9" i="2"/>
  <c r="I11" i="2"/>
  <c r="N11" i="2" s="1"/>
  <c r="G13" i="2"/>
  <c r="I15" i="2"/>
  <c r="N15" i="2" s="1"/>
  <c r="G17" i="2"/>
  <c r="I19" i="2"/>
  <c r="N19" i="2" s="1"/>
  <c r="G21" i="2"/>
  <c r="I23" i="2"/>
  <c r="N23" i="2" s="1"/>
  <c r="G25" i="2"/>
  <c r="I27" i="2"/>
  <c r="N27" i="2" s="1"/>
  <c r="G29" i="2"/>
  <c r="I31" i="2"/>
  <c r="N31" i="2" s="1"/>
  <c r="G33" i="2"/>
  <c r="I35" i="2"/>
  <c r="N35" i="2" s="1"/>
  <c r="I36" i="2"/>
  <c r="N36" i="2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" i="1"/>
  <c r="G3" i="1" s="1"/>
  <c r="H4" i="1"/>
  <c r="J4" i="1" s="1"/>
  <c r="H3" i="1"/>
  <c r="J3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8" i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" i="1"/>
  <c r="J28" i="1" l="1"/>
  <c r="I28" i="1" s="1"/>
  <c r="N28" i="1" s="1"/>
  <c r="L31" i="1"/>
  <c r="M31" i="1" s="1"/>
  <c r="L15" i="1"/>
  <c r="M15" i="1" s="1"/>
  <c r="L27" i="1"/>
  <c r="M27" i="1" s="1"/>
  <c r="L11" i="1"/>
  <c r="M11" i="1" s="1"/>
  <c r="L23" i="1"/>
  <c r="M23" i="1" s="1"/>
  <c r="L7" i="1"/>
  <c r="M7" i="1" s="1"/>
  <c r="L35" i="1"/>
  <c r="M35" i="1" s="1"/>
  <c r="L19" i="1"/>
  <c r="M19" i="1" s="1"/>
  <c r="L34" i="1"/>
  <c r="M34" i="1" s="1"/>
  <c r="L30" i="1"/>
  <c r="M30" i="1" s="1"/>
  <c r="L26" i="1"/>
  <c r="M26" i="1" s="1"/>
  <c r="L22" i="1"/>
  <c r="M22" i="1" s="1"/>
  <c r="L18" i="1"/>
  <c r="M18" i="1" s="1"/>
  <c r="L14" i="1"/>
  <c r="M14" i="1" s="1"/>
  <c r="L10" i="1"/>
  <c r="M10" i="1" s="1"/>
  <c r="L6" i="1"/>
  <c r="M6" i="1" s="1"/>
  <c r="L33" i="1"/>
  <c r="M33" i="1" s="1"/>
  <c r="L29" i="1"/>
  <c r="M29" i="1" s="1"/>
  <c r="L25" i="1"/>
  <c r="M25" i="1" s="1"/>
  <c r="L21" i="1"/>
  <c r="M21" i="1" s="1"/>
  <c r="L17" i="1"/>
  <c r="M17" i="1" s="1"/>
  <c r="L13" i="1"/>
  <c r="M13" i="1" s="1"/>
  <c r="L9" i="1"/>
  <c r="M9" i="1" s="1"/>
  <c r="L5" i="1"/>
  <c r="M5" i="1" s="1"/>
  <c r="L36" i="1"/>
  <c r="M36" i="1" s="1"/>
  <c r="L32" i="1"/>
  <c r="M32" i="1" s="1"/>
  <c r="L28" i="1"/>
  <c r="M28" i="1" s="1"/>
  <c r="L24" i="1"/>
  <c r="M24" i="1" s="1"/>
  <c r="L20" i="1"/>
  <c r="M20" i="1" s="1"/>
  <c r="L16" i="1"/>
  <c r="M16" i="1" s="1"/>
  <c r="L12" i="1"/>
  <c r="M12" i="1" s="1"/>
  <c r="L8" i="1"/>
  <c r="M8" i="1" s="1"/>
  <c r="L4" i="1"/>
  <c r="M4" i="1" s="1"/>
  <c r="L3" i="1"/>
  <c r="M3" i="1" s="1"/>
  <c r="N27" i="1"/>
  <c r="I11" i="1"/>
  <c r="N11" i="1" s="1"/>
  <c r="I31" i="1"/>
  <c r="N31" i="1" s="1"/>
  <c r="I15" i="1"/>
  <c r="N15" i="1" s="1"/>
  <c r="I23" i="1"/>
  <c r="N23" i="1" s="1"/>
  <c r="I7" i="1"/>
  <c r="N7" i="1" s="1"/>
  <c r="I35" i="1"/>
  <c r="N35" i="1" s="1"/>
  <c r="I19" i="1"/>
  <c r="N19" i="1" s="1"/>
  <c r="I34" i="1"/>
  <c r="N34" i="1" s="1"/>
  <c r="I30" i="1"/>
  <c r="N30" i="1" s="1"/>
  <c r="I26" i="1"/>
  <c r="N26" i="1" s="1"/>
  <c r="I22" i="1"/>
  <c r="N22" i="1" s="1"/>
  <c r="I18" i="1"/>
  <c r="N18" i="1" s="1"/>
  <c r="I14" i="1"/>
  <c r="N14" i="1" s="1"/>
  <c r="I10" i="1"/>
  <c r="N10" i="1" s="1"/>
  <c r="I6" i="1"/>
  <c r="N6" i="1" s="1"/>
  <c r="I33" i="1"/>
  <c r="N33" i="1" s="1"/>
  <c r="I29" i="1"/>
  <c r="N29" i="1" s="1"/>
  <c r="I25" i="1"/>
  <c r="N25" i="1" s="1"/>
  <c r="I21" i="1"/>
  <c r="N21" i="1" s="1"/>
  <c r="I17" i="1"/>
  <c r="N17" i="1" s="1"/>
  <c r="I13" i="1"/>
  <c r="N13" i="1" s="1"/>
  <c r="I9" i="1"/>
  <c r="N9" i="1" s="1"/>
  <c r="I5" i="1"/>
  <c r="N5" i="1" s="1"/>
  <c r="I36" i="1"/>
  <c r="N36" i="1" s="1"/>
  <c r="I32" i="1"/>
  <c r="N32" i="1" s="1"/>
  <c r="I24" i="1"/>
  <c r="N24" i="1" s="1"/>
  <c r="I20" i="1"/>
  <c r="N20" i="1" s="1"/>
  <c r="I16" i="1"/>
  <c r="N16" i="1" s="1"/>
  <c r="I12" i="1"/>
  <c r="N12" i="1" s="1"/>
  <c r="I8" i="1"/>
  <c r="N8" i="1" s="1"/>
  <c r="I4" i="1"/>
  <c r="N4" i="1" s="1"/>
  <c r="I3" i="1"/>
  <c r="N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81E930-57B3-419E-8F41-BA663AC8589F}" keepAlive="1" name="Запрос — Восток (2)" description="Соединение с запросом &quot;Восток (2)&quot; в книге." type="5" refreshedVersion="6">
    <dbPr connection="Provider=Microsoft.Mashup.OleDb.1;Data Source=$Workbook$;Location=&quot;Восток (2)&quot;;Extended Properties=&quot;&quot;" command="SELECT * FROM [Восток (2)]"/>
  </connection>
  <connection id="2" xr16:uid="{D89AD212-EA42-4314-81E2-A686F1DD851D}" keepAlive="1" name="Запрос — Восток (3)" description="Соединение с запросом &quot;Восток (3)&quot; в книге." type="5" refreshedVersion="6">
    <dbPr connection="Provider=Microsoft.Mashup.OleDb.1;Data Source=$Workbook$;Location=&quot;Восток (3)&quot;;Extended Properties=&quot;&quot;" command="SELECT * FROM [Восток (3)]"/>
  </connection>
  <connection id="3" xr16:uid="{35A623AB-74D4-40EE-8B95-3BDE23AAA379}" keepAlive="1" name="Запрос — Восток (4)" description="Соединение с запросом &quot;Восток (4)&quot; в книге." type="5" refreshedVersion="6">
    <dbPr connection="Provider=Microsoft.Mashup.OleDb.1;Data Source=$Workbook$;Location=&quot;Восток (4)&quot;;Extended Properties=&quot;&quot;" command="SELECT * FROM [Восток (4)]"/>
  </connection>
</connections>
</file>

<file path=xl/sharedStrings.xml><?xml version="1.0" encoding="utf-8"?>
<sst xmlns="http://schemas.openxmlformats.org/spreadsheetml/2006/main" count="116" uniqueCount="48">
  <si>
    <t>Цена</t>
  </si>
  <si>
    <t>Поставщик</t>
  </si>
  <si>
    <t>Дата поставки</t>
  </si>
  <si>
    <t>Дата продажи</t>
  </si>
  <si>
    <t>Бренд</t>
  </si>
  <si>
    <t>Тип продукта</t>
  </si>
  <si>
    <t>Объем</t>
  </si>
  <si>
    <t>Дата окончания  срока годности</t>
  </si>
  <si>
    <t>№</t>
  </si>
  <si>
    <t>Maybelline</t>
  </si>
  <si>
    <t>Clinique</t>
  </si>
  <si>
    <t>Essence</t>
  </si>
  <si>
    <t>CeraVe</t>
  </si>
  <si>
    <t>Kiko</t>
  </si>
  <si>
    <t>Vichy</t>
  </si>
  <si>
    <t>Clarins</t>
  </si>
  <si>
    <t>Gosh</t>
  </si>
  <si>
    <t>NYX</t>
  </si>
  <si>
    <t>Loreal Paris</t>
  </si>
  <si>
    <t>блеск для губ</t>
  </si>
  <si>
    <t>тушь</t>
  </si>
  <si>
    <t>праймер</t>
  </si>
  <si>
    <t>румяна</t>
  </si>
  <si>
    <t>хайлайтер</t>
  </si>
  <si>
    <t>скульптор</t>
  </si>
  <si>
    <t>тональная основа</t>
  </si>
  <si>
    <t>консилер</t>
  </si>
  <si>
    <t>помада</t>
  </si>
  <si>
    <t>пенка для умывания</t>
  </si>
  <si>
    <t>мир красоты</t>
  </si>
  <si>
    <t>ИП Иванова</t>
  </si>
  <si>
    <t>Соландра косметикс</t>
  </si>
  <si>
    <t>органик лайн</t>
  </si>
  <si>
    <t>Пантикка</t>
  </si>
  <si>
    <t>Дата изготовления</t>
  </si>
  <si>
    <t>Кол-во поступивших товаров</t>
  </si>
  <si>
    <t>Кол-во проданных товаров</t>
  </si>
  <si>
    <t>Кол-во оставших товаров</t>
  </si>
  <si>
    <t>Прибыль</t>
  </si>
  <si>
    <t>Сумма по полю Кол-во проданных товаров</t>
  </si>
  <si>
    <t>Названия столбцов</t>
  </si>
  <si>
    <t>Названия строк</t>
  </si>
  <si>
    <t>Общий итог</t>
  </si>
  <si>
    <t>Восток</t>
  </si>
  <si>
    <t>Запад</t>
  </si>
  <si>
    <t>Север</t>
  </si>
  <si>
    <t>Юг</t>
  </si>
  <si>
    <t>Сумма по полю 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</si>
</sst>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1E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/>
    <xf numFmtId="14" fontId="0" fillId="0" borderId="6" xfId="0" applyNumberFormat="1" applyBorder="1"/>
    <xf numFmtId="14" fontId="0" fillId="0" borderId="6" xfId="0" applyNumberForma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7" xfId="0" applyBorder="1"/>
    <xf numFmtId="14" fontId="0" fillId="0" borderId="3" xfId="0" applyNumberFormat="1" applyBorder="1" applyAlignment="1">
      <alignment wrapText="1"/>
    </xf>
    <xf numFmtId="14" fontId="0" fillId="0" borderId="3" xfId="0" applyNumberFormat="1" applyBorder="1"/>
    <xf numFmtId="14" fontId="0" fillId="0" borderId="9" xfId="0" applyNumberFormat="1" applyBorder="1" applyAlignment="1">
      <alignment wrapText="1"/>
    </xf>
    <xf numFmtId="14" fontId="0" fillId="0" borderId="9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6" xfId="0" applyBorder="1"/>
    <xf numFmtId="0" fontId="0" fillId="0" borderId="1" xfId="0" applyBorder="1"/>
    <xf numFmtId="0" fontId="0" fillId="0" borderId="18" xfId="0" applyBorder="1"/>
    <xf numFmtId="0" fontId="0" fillId="0" borderId="17" xfId="0" applyBorder="1"/>
    <xf numFmtId="0" fontId="0" fillId="0" borderId="19" xfId="0" applyBorder="1"/>
    <xf numFmtId="14" fontId="0" fillId="0" borderId="8" xfId="0" applyNumberFormat="1" applyBorder="1"/>
    <xf numFmtId="14" fontId="0" fillId="0" borderId="10" xfId="0" applyNumberFormat="1" applyBorder="1"/>
    <xf numFmtId="0" fontId="0" fillId="0" borderId="20" xfId="0" applyBorder="1"/>
    <xf numFmtId="14" fontId="0" fillId="0" borderId="7" xfId="0" applyNumberFormat="1" applyBorder="1"/>
    <xf numFmtId="0" fontId="0" fillId="0" borderId="12" xfId="0" applyBorder="1"/>
    <xf numFmtId="0" fontId="0" fillId="0" borderId="21" xfId="0" applyBorder="1"/>
    <xf numFmtId="0" fontId="0" fillId="0" borderId="22" xfId="0" applyBorder="1"/>
    <xf numFmtId="0" fontId="0" fillId="2" borderId="1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1E1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помада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Восток ИП Иванова</c:v>
              </c:pt>
              <c:pt idx="1">
                <c:v>Восток мир красоты</c:v>
              </c:pt>
              <c:pt idx="2">
                <c:v>Запад ИП Иванова</c:v>
              </c:pt>
              <c:pt idx="3">
                <c:v>Запад мир красоты</c:v>
              </c:pt>
              <c:pt idx="4">
                <c:v>Запад органик лайн</c:v>
              </c:pt>
              <c:pt idx="5">
                <c:v>Запад Пантикка</c:v>
              </c:pt>
              <c:pt idx="6">
                <c:v>Север органик лайн</c:v>
              </c:pt>
              <c:pt idx="7">
                <c:v>Юг Пантикка</c:v>
              </c:pt>
              <c:pt idx="8">
                <c:v>Юг Соландра косметикс</c:v>
              </c:pt>
            </c:strLit>
          </c:cat>
          <c:val>
            <c:numLit>
              <c:formatCode>General</c:formatCode>
              <c:ptCount val="9"/>
              <c:pt idx="0">
                <c:v>127</c:v>
              </c:pt>
              <c:pt idx="1">
                <c:v>122</c:v>
              </c:pt>
              <c:pt idx="2">
                <c:v>212</c:v>
              </c:pt>
              <c:pt idx="3">
                <c:v>272</c:v>
              </c:pt>
              <c:pt idx="4">
                <c:v>53</c:v>
              </c:pt>
              <c:pt idx="5">
                <c:v>60</c:v>
              </c:pt>
              <c:pt idx="6">
                <c:v>65</c:v>
              </c:pt>
              <c:pt idx="7">
                <c:v>135</c:v>
              </c:pt>
              <c:pt idx="8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0-06ED-4182-9B51-6020A9939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589216"/>
        <c:axId val="1533220736"/>
      </c:barChart>
      <c:catAx>
        <c:axId val="139958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3220736"/>
        <c:crosses val="autoZero"/>
        <c:auto val="1"/>
        <c:lblAlgn val="ctr"/>
        <c:lblOffset val="100"/>
        <c:noMultiLvlLbl val="0"/>
      </c:catAx>
      <c:valAx>
        <c:axId val="15332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958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помада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Итог</c:v>
              </c:pt>
            </c:strLit>
          </c:cat>
          <c:val>
            <c:numLit>
              <c:formatCode>General</c:formatCode>
              <c:ptCount val="1"/>
              <c:pt idx="0">
                <c:v>2037</c:v>
              </c:pt>
            </c:numLit>
          </c:val>
          <c:extLst>
            <c:ext xmlns:c16="http://schemas.microsoft.com/office/drawing/2014/chart" uri="{C3380CC4-5D6E-409C-BE32-E72D297353CC}">
              <c16:uniqueId val="{00000000-B108-4175-8407-1EBFCF524CE9}"/>
            </c:ext>
          </c:extLst>
        </c:ser>
        <c:ser>
          <c:idx val="1"/>
          <c:order val="1"/>
          <c:tx>
            <c:v>праймер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Итог</c:v>
              </c:pt>
            </c:strLit>
          </c:cat>
          <c:val>
            <c:numLit>
              <c:formatCode>General</c:formatCode>
              <c:ptCount val="1"/>
              <c:pt idx="0">
                <c:v>1605</c:v>
              </c:pt>
            </c:numLit>
          </c:val>
          <c:extLst>
            <c:ext xmlns:c16="http://schemas.microsoft.com/office/drawing/2014/chart" uri="{C3380CC4-5D6E-409C-BE32-E72D297353CC}">
              <c16:uniqueId val="{00000001-B108-4175-8407-1EBFCF524CE9}"/>
            </c:ext>
          </c:extLst>
        </c:ser>
        <c:ser>
          <c:idx val="2"/>
          <c:order val="2"/>
          <c:tx>
            <c:v>скульптор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Итог</c:v>
              </c:pt>
            </c:strLit>
          </c:cat>
          <c:val>
            <c:numLit>
              <c:formatCode>General</c:formatCode>
              <c:ptCount val="1"/>
              <c:pt idx="0">
                <c:v>1287</c:v>
              </c:pt>
            </c:numLit>
          </c:val>
          <c:extLst>
            <c:ext xmlns:c16="http://schemas.microsoft.com/office/drawing/2014/chart" uri="{C3380CC4-5D6E-409C-BE32-E72D297353CC}">
              <c16:uniqueId val="{00000002-B108-4175-8407-1EBFCF524CE9}"/>
            </c:ext>
          </c:extLst>
        </c:ser>
        <c:ser>
          <c:idx val="3"/>
          <c:order val="3"/>
          <c:tx>
            <c:v>тушь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Итог</c:v>
              </c:pt>
            </c:strLit>
          </c:cat>
          <c:val>
            <c:numLit>
              <c:formatCode>General</c:formatCode>
              <c:ptCount val="1"/>
              <c:pt idx="0">
                <c:v>1081</c:v>
              </c:pt>
            </c:numLit>
          </c:val>
          <c:extLst>
            <c:ext xmlns:c16="http://schemas.microsoft.com/office/drawing/2014/chart" uri="{C3380CC4-5D6E-409C-BE32-E72D297353CC}">
              <c16:uniqueId val="{00000003-B108-4175-8407-1EBFCF524CE9}"/>
            </c:ext>
          </c:extLst>
        </c:ser>
        <c:ser>
          <c:idx val="4"/>
          <c:order val="4"/>
          <c:tx>
            <c:v>хайлайтер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Итог</c:v>
              </c:pt>
            </c:strLit>
          </c:cat>
          <c:val>
            <c:numLit>
              <c:formatCode>General</c:formatCode>
              <c:ptCount val="1"/>
              <c:pt idx="0">
                <c:v>1408</c:v>
              </c:pt>
            </c:numLit>
          </c:val>
          <c:extLst>
            <c:ext xmlns:c16="http://schemas.microsoft.com/office/drawing/2014/chart" uri="{C3380CC4-5D6E-409C-BE32-E72D297353CC}">
              <c16:uniqueId val="{00000004-B108-4175-8407-1EBFCF524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641152"/>
        <c:axId val="1404803440"/>
      </c:barChart>
      <c:catAx>
        <c:axId val="72064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4803440"/>
        <c:crosses val="autoZero"/>
        <c:auto val="1"/>
        <c:lblAlgn val="ctr"/>
        <c:lblOffset val="100"/>
        <c:noMultiLvlLbl val="0"/>
      </c:catAx>
      <c:valAx>
        <c:axId val="140480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064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13</xdr:col>
      <xdr:colOff>169545</xdr:colOff>
      <xdr:row>14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68EF7CD-6237-4F04-9589-0E17A1412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386715</xdr:colOff>
      <xdr:row>38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63D7213-CA31-4917-8A64-F86CC13F4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40</xdr:row>
      <xdr:rowOff>0</xdr:rowOff>
    </xdr:from>
    <xdr:to>
      <xdr:col>8</xdr:col>
      <xdr:colOff>401955</xdr:colOff>
      <xdr:row>47</xdr:row>
      <xdr:rowOff>38100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Дата продажи 1">
              <a:extLst>
                <a:ext uri="{FF2B5EF4-FFF2-40B4-BE49-F238E27FC236}">
                  <a16:creationId xmlns:a16="http://schemas.microsoft.com/office/drawing/2014/main" id="{A6211A5B-A9C0-4F2A-969A-1F05465713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Дата продажи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4320" y="7315200"/>
              <a:ext cx="3449955" cy="1318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707.668129398146" createdVersion="6" refreshedVersion="6" minRefreshableVersion="3" recordCount="136" xr:uid="{5EEE2C55-4EE9-43F6-B3BC-925B02DE9184}">
  <cacheSource type="external" connectionId="1"/>
  <cacheFields count="15">
    <cacheField name="Магазины" numFmtId="0">
      <sharedItems count="4">
        <s v="Юг"/>
        <s v="Север"/>
        <s v="Запад"/>
        <s v="Восток"/>
      </sharedItems>
    </cacheField>
    <cacheField name="№" numFmtId="0">
      <sharedItems containsSemiMixedTypes="0" containsString="0" containsNumber="1" containsInteger="1" minValue="1" maxValue="34"/>
    </cacheField>
    <cacheField name="Бренд" numFmtId="0">
      <sharedItems count="10">
        <s v="Maybelline"/>
        <s v="Clarins"/>
        <s v="Kiko"/>
        <s v="Essence"/>
        <s v="Gosh"/>
        <s v="NYX"/>
        <s v="Vichy"/>
        <s v="CeraVe"/>
        <s v="Clinique"/>
        <s v="Loreal Paris"/>
      </sharedItems>
    </cacheField>
    <cacheField name="Тип продукта" numFmtId="0">
      <sharedItems count="10">
        <s v="румяна"/>
        <s v="скульптор"/>
        <s v="тональная основа"/>
        <s v="праймер"/>
        <s v="консилер"/>
        <s v="тушь"/>
        <s v="блеск для губ"/>
        <s v="хайлайтер"/>
        <s v="помада"/>
        <s v="пенка для умывания"/>
      </sharedItems>
    </cacheField>
    <cacheField name="Объем" numFmtId="0">
      <sharedItems containsSemiMixedTypes="0" containsString="0" containsNumber="1" containsInteger="1" minValue="10" maxValue="100" count="6">
        <n v="100"/>
        <n v="20"/>
        <n v="50"/>
        <n v="30"/>
        <n v="15"/>
        <n v="10"/>
      </sharedItems>
    </cacheField>
    <cacheField name="Цена" numFmtId="0">
      <sharedItems containsSemiMixedTypes="0" containsString="0" containsNumber="1" containsInteger="1" minValue="619" maxValue="4904"/>
    </cacheField>
    <cacheField name="Дата изготовления" numFmtId="0">
      <sharedItems containsSemiMixedTypes="0" containsNonDate="0" containsDate="1" containsString="0" minDate="2024-02-17T00:00:00" maxDate="2025-02-16T00:00:00"/>
    </cacheField>
    <cacheField name="Дата окончания  срока годности" numFmtId="0">
      <sharedItems containsSemiMixedTypes="0" containsNonDate="0" containsDate="1" containsString="0" minDate="2027-02-16T00:00:00" maxDate="2028-02-16T00:00:00"/>
    </cacheField>
    <cacheField name="Кол-во поступивших товаров" numFmtId="0">
      <sharedItems containsSemiMixedTypes="0" containsString="0" containsNumber="1" containsInteger="1" minValue="50" maxValue="359"/>
    </cacheField>
    <cacheField name="Кол-во проданных товаров" numFmtId="0">
      <sharedItems containsSemiMixedTypes="0" containsString="0" containsNumber="1" containsInteger="1" minValue="0" maxValue="348"/>
    </cacheField>
    <cacheField name="Кол-во оставших товаров" numFmtId="0">
      <sharedItems containsSemiMixedTypes="0" containsString="0" containsNumber="1" containsInteger="1" minValue="0" maxValue="279"/>
    </cacheField>
    <cacheField name="Поставщик" numFmtId="0">
      <sharedItems count="5">
        <s v="мир красоты"/>
        <s v="ИП Иванова"/>
        <s v="Соландра косметикс"/>
        <s v="Пантикка"/>
        <s v="органик лайн"/>
      </sharedItems>
    </cacheField>
    <cacheField name="Дата поставки" numFmtId="0">
      <sharedItems containsSemiMixedTypes="0" containsNonDate="0" containsDate="1" containsString="0" minDate="2024-03-26T00:00:00" maxDate="2025-02-20T00:00:00"/>
    </cacheField>
    <cacheField name="Дата продажи" numFmtId="0">
      <sharedItems containsSemiMixedTypes="0" containsNonDate="0" containsDate="1" containsString="0" minDate="2024-06-28T00:00:00" maxDate="2025-02-20T00:00:00"/>
    </cacheField>
    <cacheField name="Прибыль" numFmtId="0">
      <sharedItems containsSemiMixedTypes="0" containsString="0" containsNumber="1" containsInteger="1" minValue="0" maxValue="1040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707.669575462962" createdVersion="6" refreshedVersion="6" minRefreshableVersion="3" recordCount="136" xr:uid="{DE8AC148-D0B3-4989-AA7F-A73A15973555}">
  <cacheSource type="external" connectionId="2"/>
  <cacheFields count="15">
    <cacheField name="Магазины" numFmtId="0">
      <sharedItems count="4">
        <s v="Юг"/>
        <s v="Север"/>
        <s v="Запад"/>
        <s v="Восток"/>
      </sharedItems>
    </cacheField>
    <cacheField name="№" numFmtId="0">
      <sharedItems containsSemiMixedTypes="0" containsString="0" containsNumber="1" containsInteger="1" minValue="1" maxValue="34"/>
    </cacheField>
    <cacheField name="Бренд" numFmtId="0">
      <sharedItems count="10">
        <s v="NYX"/>
        <s v="Vichy"/>
        <s v="Loreal Paris"/>
        <s v="Clarins"/>
        <s v="CeraVe"/>
        <s v="Essence"/>
        <s v="Kiko"/>
        <s v="Gosh"/>
        <s v="Maybelline"/>
        <s v="Clinique"/>
      </sharedItems>
    </cacheField>
    <cacheField name="Тип продукта" numFmtId="0">
      <sharedItems count="10">
        <s v="консилер"/>
        <s v="блеск для губ"/>
        <s v="помада"/>
        <s v="тушь"/>
        <s v="скульптор"/>
        <s v="хайлайтер"/>
        <s v="румяна"/>
        <s v="тональная основа"/>
        <s v="праймер"/>
        <s v="пенка для умывания"/>
      </sharedItems>
    </cacheField>
    <cacheField name="Объем" numFmtId="0">
      <sharedItems containsSemiMixedTypes="0" containsString="0" containsNumber="1" containsInteger="1" minValue="10" maxValue="100" count="6">
        <n v="100"/>
        <n v="30"/>
        <n v="15"/>
        <n v="20"/>
        <n v="50"/>
        <n v="10"/>
      </sharedItems>
    </cacheField>
    <cacheField name="Цена" numFmtId="0">
      <sharedItems containsSemiMixedTypes="0" containsString="0" containsNumber="1" containsInteger="1" minValue="672" maxValue="4993"/>
    </cacheField>
    <cacheField name="Дата изготовления" numFmtId="0">
      <sharedItems containsSemiMixedTypes="0" containsNonDate="0" containsDate="1" containsString="0" minDate="2024-02-17T00:00:00" maxDate="2025-02-09T00:00:00"/>
    </cacheField>
    <cacheField name="Дата окончания  срока годности" numFmtId="0">
      <sharedItems containsSemiMixedTypes="0" containsNonDate="0" containsDate="1" containsString="0" minDate="2027-02-16T00:00:00" maxDate="2028-02-09T00:00:00"/>
    </cacheField>
    <cacheField name="Кол-во поступивших товаров" numFmtId="0">
      <sharedItems containsSemiMixedTypes="0" containsString="0" containsNumber="1" containsInteger="1" minValue="50" maxValue="1000"/>
    </cacheField>
    <cacheField name="Кол-во проданных товаров" numFmtId="0">
      <sharedItems containsSemiMixedTypes="0" containsString="0" containsNumber="1" containsInteger="1" minValue="0" maxValue="900"/>
    </cacheField>
    <cacheField name="Кол-во оставших товаров" numFmtId="0">
      <sharedItems containsSemiMixedTypes="0" containsString="0" containsNumber="1" containsInteger="1" minValue="0" maxValue="265"/>
    </cacheField>
    <cacheField name="Поставщик" numFmtId="0">
      <sharedItems count="5">
        <s v="органик лайн"/>
        <s v="Соландра косметикс"/>
        <s v="мир красоты"/>
        <s v="ИП Иванова"/>
        <s v="Пантикка"/>
      </sharedItems>
    </cacheField>
    <cacheField name="Дата поставки" numFmtId="0">
      <sharedItems containsSemiMixedTypes="0" containsNonDate="0" containsDate="1" containsString="0" minDate="2024-03-23T00:00:00" maxDate="2025-02-19T00:00:00"/>
    </cacheField>
    <cacheField name="Дата продажи" numFmtId="0">
      <sharedItems containsSemiMixedTypes="0" containsNonDate="0" containsDate="1" containsString="0" minDate="2024-04-12T00:00:00" maxDate="2025-02-20T00:00:00"/>
    </cacheField>
    <cacheField name="Прибыль" numFmtId="0">
      <sharedItems containsSemiMixedTypes="0" containsString="0" containsNumber="1" containsInteger="1" minValue="0" maxValue="1085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707.668128124998" createdVersion="6" refreshedVersion="6" minRefreshableVersion="3" recordCount="136" xr:uid="{944A2C43-2E54-4B4A-A143-5CE4652A29F0}">
  <cacheSource type="external" connectionId="3"/>
  <cacheFields count="15">
    <cacheField name="Магазины" numFmtId="0">
      <sharedItems count="4">
        <s v="Юг"/>
        <s v="Север"/>
        <s v="Запад"/>
        <s v="Восток"/>
      </sharedItems>
    </cacheField>
    <cacheField name="№" numFmtId="0">
      <sharedItems containsSemiMixedTypes="0" containsString="0" containsNumber="1" containsInteger="1" minValue="1" maxValue="34"/>
    </cacheField>
    <cacheField name="Бренд" numFmtId="0">
      <sharedItems count="10">
        <s v="Maybelline"/>
        <s v="Clarins"/>
        <s v="Kiko"/>
        <s v="Essence"/>
        <s v="Gosh"/>
        <s v="NYX"/>
        <s v="Vichy"/>
        <s v="CeraVe"/>
        <s v="Clinique"/>
        <s v="Loreal Paris"/>
      </sharedItems>
    </cacheField>
    <cacheField name="Тип продукта" numFmtId="0">
      <sharedItems count="10">
        <s v="румяна"/>
        <s v="скульптор"/>
        <s v="тональная основа"/>
        <s v="праймер"/>
        <s v="консилер"/>
        <s v="тушь"/>
        <s v="блеск для губ"/>
        <s v="хайлайтер"/>
        <s v="помада"/>
        <s v="пенка для умывания"/>
      </sharedItems>
    </cacheField>
    <cacheField name="Объем" numFmtId="0">
      <sharedItems containsSemiMixedTypes="0" containsString="0" containsNumber="1" containsInteger="1" minValue="10" maxValue="100" count="6">
        <n v="100"/>
        <n v="20"/>
        <n v="50"/>
        <n v="30"/>
        <n v="15"/>
        <n v="10"/>
      </sharedItems>
    </cacheField>
    <cacheField name="Цена" numFmtId="0">
      <sharedItems containsSemiMixedTypes="0" containsString="0" containsNumber="1" containsInteger="1" minValue="619" maxValue="4904"/>
    </cacheField>
    <cacheField name="Дата изготовления" numFmtId="0">
      <sharedItems containsSemiMixedTypes="0" containsNonDate="0" containsDate="1" containsString="0" minDate="2024-02-17T00:00:00" maxDate="2025-02-16T00:00:00"/>
    </cacheField>
    <cacheField name="Дата окончания  срока годности" numFmtId="0">
      <sharedItems containsSemiMixedTypes="0" containsNonDate="0" containsDate="1" containsString="0" minDate="2027-02-16T00:00:00" maxDate="2028-02-16T00:00:00"/>
    </cacheField>
    <cacheField name="Кол-во поступивших товаров" numFmtId="0">
      <sharedItems containsSemiMixedTypes="0" containsString="0" containsNumber="1" containsInteger="1" minValue="50" maxValue="359"/>
    </cacheField>
    <cacheField name="Кол-во проданных товаров" numFmtId="0">
      <sharedItems containsSemiMixedTypes="0" containsString="0" containsNumber="1" containsInteger="1" minValue="0" maxValue="348"/>
    </cacheField>
    <cacheField name="Кол-во оставших товаров" numFmtId="0">
      <sharedItems containsSemiMixedTypes="0" containsString="0" containsNumber="1" containsInteger="1" minValue="0" maxValue="279"/>
    </cacheField>
    <cacheField name="Поставщик" numFmtId="0">
      <sharedItems count="5">
        <s v="мир красоты"/>
        <s v="ИП Иванова"/>
        <s v="Соландра косметикс"/>
        <s v="Пантикка"/>
        <s v="органик лайн"/>
      </sharedItems>
    </cacheField>
    <cacheField name="Дата поставки" numFmtId="0">
      <sharedItems containsSemiMixedTypes="0" containsNonDate="0" containsDate="1" containsString="0" minDate="2024-03-26T00:00:00" maxDate="2025-02-20T00:00:00"/>
    </cacheField>
    <cacheField name="Дата продажи" numFmtId="0">
      <sharedItems containsSemiMixedTypes="0" containsNonDate="0" containsDate="1" containsString="0" minDate="2024-06-28T00:00:00" maxDate="2025-02-20T00:00:00" count="72">
        <d v="2024-10-14T00:00:00"/>
        <d v="2024-11-28T00:00:00"/>
        <d v="2025-02-16T00:00:00"/>
        <d v="2025-01-01T00:00:00"/>
        <d v="2025-01-22T00:00:00"/>
        <d v="2025-02-01T00:00:00"/>
        <d v="2025-01-20T00:00:00"/>
        <d v="2025-01-31T00:00:00"/>
        <d v="2025-02-04T00:00:00"/>
        <d v="2025-02-17T00:00:00"/>
        <d v="2024-10-07T00:00:00"/>
        <d v="2025-01-24T00:00:00"/>
        <d v="2025-02-07T00:00:00"/>
        <d v="2025-02-08T00:00:00"/>
        <d v="2025-01-08T00:00:00"/>
        <d v="2024-07-27T00:00:00"/>
        <d v="2024-11-13T00:00:00"/>
        <d v="2024-10-26T00:00:00"/>
        <d v="2025-02-02T00:00:00"/>
        <d v="2025-02-18T00:00:00"/>
        <d v="2025-02-06T00:00:00"/>
        <d v="2024-12-23T00:00:00"/>
        <d v="2025-01-16T00:00:00"/>
        <d v="2024-08-29T00:00:00"/>
        <d v="2025-01-10T00:00:00"/>
        <d v="2024-08-26T00:00:00"/>
        <d v="2024-07-28T00:00:00"/>
        <d v="2024-12-30T00:00:00"/>
        <d v="2024-12-29T00:00:00"/>
        <d v="2024-10-03T00:00:00"/>
        <d v="2024-11-24T00:00:00"/>
        <d v="2025-02-13T00:00:00"/>
        <d v="2025-02-10T00:00:00"/>
        <d v="2025-01-13T00:00:00"/>
        <d v="2025-02-11T00:00:00"/>
        <d v="2024-11-11T00:00:00"/>
        <d v="2024-12-10T00:00:00"/>
        <d v="2024-12-19T00:00:00"/>
        <d v="2025-02-03T00:00:00"/>
        <d v="2025-01-29T00:00:00"/>
        <d v="2024-10-13T00:00:00"/>
        <d v="2025-01-02T00:00:00"/>
        <d v="2025-01-04T00:00:00"/>
        <d v="2024-08-02T00:00:00"/>
        <d v="2025-02-19T00:00:00"/>
        <d v="2025-01-21T00:00:00"/>
        <d v="2025-02-15T00:00:00"/>
        <d v="2025-02-09T00:00:00"/>
        <d v="2024-11-15T00:00:00"/>
        <d v="2024-09-08T00:00:00"/>
        <d v="2025-01-30T00:00:00"/>
        <d v="2025-01-27T00:00:00"/>
        <d v="2025-01-07T00:00:00"/>
        <d v="2024-12-16T00:00:00"/>
        <d v="2024-11-20T00:00:00"/>
        <d v="2024-12-09T00:00:00"/>
        <d v="2025-01-14T00:00:00"/>
        <d v="2025-01-18T00:00:00"/>
        <d v="2024-06-28T00:00:00"/>
        <d v="2024-09-13T00:00:00"/>
        <d v="2025-01-28T00:00:00"/>
        <d v="2024-10-31T00:00:00"/>
        <d v="2024-12-03T00:00:00"/>
        <d v="2024-11-22T00:00:00"/>
        <d v="2025-02-12T00:00:00"/>
        <d v="2025-01-19T00:00:00"/>
        <d v="2024-11-18T00:00:00"/>
        <d v="2025-01-12T00:00:00"/>
        <d v="2024-12-08T00:00:00"/>
        <d v="2024-09-12T00:00:00"/>
        <d v="2025-02-14T00:00:00"/>
        <d v="2024-06-29T00:00:00"/>
      </sharedItems>
    </cacheField>
    <cacheField name="Прибыль" numFmtId="0">
      <sharedItems containsSemiMixedTypes="0" containsString="0" containsNumber="1" containsInteger="1" minValue="0" maxValue="1040172"/>
    </cacheField>
  </cacheFields>
  <extLst>
    <ext xmlns:x14="http://schemas.microsoft.com/office/spreadsheetml/2009/9/main" uri="{725AE2AE-9491-48be-B2B4-4EB974FC3084}">
      <x14:pivotCacheDefinition pivotCacheId="304932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n v="1"/>
    <x v="0"/>
    <x v="0"/>
    <x v="0"/>
    <n v="3392"/>
    <d v="2024-05-24T00:00:00"/>
    <d v="2027-05-24T00:00:00"/>
    <n v="163"/>
    <n v="117"/>
    <n v="46"/>
    <x v="0"/>
    <d v="2024-08-11T00:00:00"/>
    <d v="2024-10-14T00:00:00"/>
    <n v="396864"/>
  </r>
  <r>
    <x v="0"/>
    <n v="2"/>
    <x v="1"/>
    <x v="1"/>
    <x v="1"/>
    <n v="4654"/>
    <d v="2024-03-14T00:00:00"/>
    <d v="2027-03-14T00:00:00"/>
    <n v="59"/>
    <n v="14"/>
    <n v="45"/>
    <x v="1"/>
    <d v="2024-09-20T00:00:00"/>
    <d v="2024-11-28T00:00:00"/>
    <n v="65156"/>
  </r>
  <r>
    <x v="0"/>
    <n v="3"/>
    <x v="0"/>
    <x v="0"/>
    <x v="2"/>
    <n v="1754"/>
    <d v="2024-08-20T00:00:00"/>
    <d v="2027-08-20T00:00:00"/>
    <n v="108"/>
    <n v="81"/>
    <n v="27"/>
    <x v="1"/>
    <d v="2025-01-19T00:00:00"/>
    <d v="2025-02-16T00:00:00"/>
    <n v="142074"/>
  </r>
  <r>
    <x v="0"/>
    <n v="4"/>
    <x v="2"/>
    <x v="1"/>
    <x v="3"/>
    <n v="3006"/>
    <d v="2024-04-26T00:00:00"/>
    <d v="2027-04-26T00:00:00"/>
    <n v="269"/>
    <n v="247"/>
    <n v="22"/>
    <x v="2"/>
    <d v="2024-12-05T00:00:00"/>
    <d v="2025-01-01T00:00:00"/>
    <n v="742482"/>
  </r>
  <r>
    <x v="0"/>
    <n v="5"/>
    <x v="3"/>
    <x v="2"/>
    <x v="0"/>
    <n v="619"/>
    <d v="2024-09-02T00:00:00"/>
    <d v="2027-09-02T00:00:00"/>
    <n v="71"/>
    <n v="2"/>
    <n v="69"/>
    <x v="3"/>
    <d v="2024-12-31T00:00:00"/>
    <d v="2025-01-22T00:00:00"/>
    <n v="1238"/>
  </r>
  <r>
    <x v="0"/>
    <n v="6"/>
    <x v="0"/>
    <x v="1"/>
    <x v="0"/>
    <n v="2040"/>
    <d v="2024-06-17T00:00:00"/>
    <d v="2027-06-17T00:00:00"/>
    <n v="249"/>
    <n v="102"/>
    <n v="147"/>
    <x v="0"/>
    <d v="2024-09-26T00:00:00"/>
    <d v="2025-02-01T00:00:00"/>
    <n v="208080"/>
  </r>
  <r>
    <x v="0"/>
    <n v="7"/>
    <x v="4"/>
    <x v="1"/>
    <x v="1"/>
    <n v="2400"/>
    <d v="2024-06-26T00:00:00"/>
    <d v="2027-06-26T00:00:00"/>
    <n v="180"/>
    <n v="0"/>
    <n v="180"/>
    <x v="2"/>
    <d v="2024-07-25T00:00:00"/>
    <d v="2025-01-20T00:00:00"/>
    <n v="0"/>
  </r>
  <r>
    <x v="0"/>
    <n v="8"/>
    <x v="2"/>
    <x v="2"/>
    <x v="4"/>
    <n v="2329"/>
    <d v="2024-07-12T00:00:00"/>
    <d v="2027-07-12T00:00:00"/>
    <n v="209"/>
    <n v="60"/>
    <n v="149"/>
    <x v="4"/>
    <d v="2025-01-31T00:00:00"/>
    <d v="2025-01-31T00:00:00"/>
    <n v="139740"/>
  </r>
  <r>
    <x v="0"/>
    <n v="9"/>
    <x v="5"/>
    <x v="3"/>
    <x v="0"/>
    <n v="1614"/>
    <d v="2025-02-04T00:00:00"/>
    <d v="2028-02-04T00:00:00"/>
    <n v="283"/>
    <n v="166"/>
    <n v="117"/>
    <x v="3"/>
    <d v="2025-02-04T00:00:00"/>
    <d v="2025-02-04T00:00:00"/>
    <n v="267924"/>
  </r>
  <r>
    <x v="0"/>
    <n v="10"/>
    <x v="6"/>
    <x v="3"/>
    <x v="4"/>
    <n v="1560"/>
    <d v="2024-12-17T00:00:00"/>
    <d v="2027-12-17T00:00:00"/>
    <n v="177"/>
    <n v="29"/>
    <n v="148"/>
    <x v="2"/>
    <d v="2025-02-02T00:00:00"/>
    <d v="2025-02-17T00:00:00"/>
    <n v="45240"/>
  </r>
  <r>
    <x v="0"/>
    <n v="11"/>
    <x v="7"/>
    <x v="4"/>
    <x v="2"/>
    <n v="2885"/>
    <d v="2024-03-03T00:00:00"/>
    <d v="2027-03-03T00:00:00"/>
    <n v="54"/>
    <n v="21"/>
    <n v="33"/>
    <x v="1"/>
    <d v="2024-05-25T00:00:00"/>
    <d v="2024-10-07T00:00:00"/>
    <n v="60585"/>
  </r>
  <r>
    <x v="0"/>
    <n v="12"/>
    <x v="2"/>
    <x v="5"/>
    <x v="1"/>
    <n v="933"/>
    <d v="2024-03-14T00:00:00"/>
    <d v="2027-03-14T00:00:00"/>
    <n v="203"/>
    <n v="67"/>
    <n v="136"/>
    <x v="0"/>
    <d v="2024-11-11T00:00:00"/>
    <d v="2025-01-24T00:00:00"/>
    <n v="62511"/>
  </r>
  <r>
    <x v="0"/>
    <n v="13"/>
    <x v="1"/>
    <x v="6"/>
    <x v="5"/>
    <n v="2111"/>
    <d v="2024-12-02T00:00:00"/>
    <d v="2027-12-02T00:00:00"/>
    <n v="58"/>
    <n v="1"/>
    <n v="57"/>
    <x v="0"/>
    <d v="2024-12-10T00:00:00"/>
    <d v="2025-02-07T00:00:00"/>
    <n v="2111"/>
  </r>
  <r>
    <x v="0"/>
    <n v="14"/>
    <x v="2"/>
    <x v="4"/>
    <x v="0"/>
    <n v="3244"/>
    <d v="2024-03-02T00:00:00"/>
    <d v="2027-03-02T00:00:00"/>
    <n v="68"/>
    <n v="28"/>
    <n v="40"/>
    <x v="3"/>
    <d v="2024-11-27T00:00:00"/>
    <d v="2025-02-08T00:00:00"/>
    <n v="90832"/>
  </r>
  <r>
    <x v="0"/>
    <n v="15"/>
    <x v="7"/>
    <x v="5"/>
    <x v="2"/>
    <n v="1361"/>
    <d v="2025-01-25T00:00:00"/>
    <d v="2028-01-25T00:00:00"/>
    <n v="242"/>
    <n v="37"/>
    <n v="205"/>
    <x v="0"/>
    <d v="2025-01-26T00:00:00"/>
    <d v="2025-02-08T00:00:00"/>
    <n v="50357"/>
  </r>
  <r>
    <x v="0"/>
    <n v="16"/>
    <x v="8"/>
    <x v="4"/>
    <x v="1"/>
    <n v="1043"/>
    <d v="2024-12-28T00:00:00"/>
    <d v="2027-12-28T00:00:00"/>
    <n v="111"/>
    <n v="47"/>
    <n v="64"/>
    <x v="2"/>
    <d v="2025-01-08T00:00:00"/>
    <d v="2025-01-08T00:00:00"/>
    <n v="49021"/>
  </r>
  <r>
    <x v="0"/>
    <n v="17"/>
    <x v="9"/>
    <x v="0"/>
    <x v="4"/>
    <n v="1488"/>
    <d v="2024-03-06T00:00:00"/>
    <d v="2027-03-06T00:00:00"/>
    <n v="127"/>
    <n v="32"/>
    <n v="95"/>
    <x v="1"/>
    <d v="2024-07-25T00:00:00"/>
    <d v="2024-07-27T00:00:00"/>
    <n v="47616"/>
  </r>
  <r>
    <x v="0"/>
    <n v="18"/>
    <x v="9"/>
    <x v="7"/>
    <x v="0"/>
    <n v="2262"/>
    <d v="2024-02-25T00:00:00"/>
    <d v="2027-02-24T00:00:00"/>
    <n v="144"/>
    <n v="7"/>
    <n v="137"/>
    <x v="2"/>
    <d v="2024-10-28T00:00:00"/>
    <d v="2024-11-13T00:00:00"/>
    <n v="15834"/>
  </r>
  <r>
    <x v="0"/>
    <n v="19"/>
    <x v="8"/>
    <x v="8"/>
    <x v="1"/>
    <n v="753"/>
    <d v="2024-02-26T00:00:00"/>
    <d v="2027-02-25T00:00:00"/>
    <n v="228"/>
    <n v="135"/>
    <n v="93"/>
    <x v="3"/>
    <d v="2024-08-22T00:00:00"/>
    <d v="2024-10-26T00:00:00"/>
    <n v="101655"/>
  </r>
  <r>
    <x v="0"/>
    <n v="20"/>
    <x v="0"/>
    <x v="0"/>
    <x v="0"/>
    <n v="2696"/>
    <d v="2024-08-21T00:00:00"/>
    <d v="2027-08-21T00:00:00"/>
    <n v="70"/>
    <n v="43"/>
    <n v="27"/>
    <x v="3"/>
    <d v="2024-10-05T00:00:00"/>
    <d v="2025-02-02T00:00:00"/>
    <n v="115928"/>
  </r>
  <r>
    <x v="0"/>
    <n v="21"/>
    <x v="4"/>
    <x v="3"/>
    <x v="4"/>
    <n v="2601"/>
    <d v="2025-02-15T00:00:00"/>
    <d v="2028-02-15T00:00:00"/>
    <n v="135"/>
    <n v="48"/>
    <n v="87"/>
    <x v="4"/>
    <d v="2025-02-18T00:00:00"/>
    <d v="2025-02-18T00:00:00"/>
    <n v="124848"/>
  </r>
  <r>
    <x v="0"/>
    <n v="22"/>
    <x v="1"/>
    <x v="7"/>
    <x v="3"/>
    <n v="2334"/>
    <d v="2024-08-24T00:00:00"/>
    <d v="2027-08-24T00:00:00"/>
    <n v="108"/>
    <n v="59"/>
    <n v="49"/>
    <x v="3"/>
    <d v="2024-12-01T00:00:00"/>
    <d v="2025-02-06T00:00:00"/>
    <n v="137706"/>
  </r>
  <r>
    <x v="0"/>
    <n v="23"/>
    <x v="9"/>
    <x v="1"/>
    <x v="5"/>
    <n v="3194"/>
    <d v="2024-06-09T00:00:00"/>
    <d v="2027-06-09T00:00:00"/>
    <n v="61"/>
    <n v="24"/>
    <n v="37"/>
    <x v="4"/>
    <d v="2024-08-30T00:00:00"/>
    <d v="2024-12-23T00:00:00"/>
    <n v="76656"/>
  </r>
  <r>
    <x v="0"/>
    <n v="24"/>
    <x v="0"/>
    <x v="0"/>
    <x v="1"/>
    <n v="3254"/>
    <d v="2024-03-24T00:00:00"/>
    <d v="2027-03-24T00:00:00"/>
    <n v="120"/>
    <n v="29"/>
    <n v="91"/>
    <x v="0"/>
    <d v="2024-11-05T00:00:00"/>
    <d v="2025-01-16T00:00:00"/>
    <n v="94366"/>
  </r>
  <r>
    <x v="0"/>
    <n v="25"/>
    <x v="5"/>
    <x v="2"/>
    <x v="3"/>
    <n v="1952"/>
    <d v="2024-02-17T00:00:00"/>
    <d v="2027-02-16T00:00:00"/>
    <n v="83"/>
    <n v="48"/>
    <n v="35"/>
    <x v="1"/>
    <d v="2024-05-20T00:00:00"/>
    <d v="2024-08-29T00:00:00"/>
    <n v="93696"/>
  </r>
  <r>
    <x v="0"/>
    <n v="26"/>
    <x v="5"/>
    <x v="6"/>
    <x v="2"/>
    <n v="1161"/>
    <d v="2024-12-25T00:00:00"/>
    <d v="2027-12-25T00:00:00"/>
    <n v="184"/>
    <n v="51"/>
    <n v="133"/>
    <x v="1"/>
    <d v="2024-12-28T00:00:00"/>
    <d v="2025-01-10T00:00:00"/>
    <n v="59211"/>
  </r>
  <r>
    <x v="0"/>
    <n v="27"/>
    <x v="6"/>
    <x v="0"/>
    <x v="3"/>
    <n v="4036"/>
    <d v="2024-03-07T00:00:00"/>
    <d v="2027-03-07T00:00:00"/>
    <n v="84"/>
    <n v="24"/>
    <n v="60"/>
    <x v="4"/>
    <d v="2024-06-20T00:00:00"/>
    <d v="2024-08-26T00:00:00"/>
    <n v="96864"/>
  </r>
  <r>
    <x v="0"/>
    <n v="28"/>
    <x v="9"/>
    <x v="4"/>
    <x v="0"/>
    <n v="2906"/>
    <d v="2024-06-26T00:00:00"/>
    <d v="2027-06-26T00:00:00"/>
    <n v="287"/>
    <n v="199"/>
    <n v="88"/>
    <x v="0"/>
    <d v="2024-11-21T00:00:00"/>
    <d v="2025-01-22T00:00:00"/>
    <n v="578294"/>
  </r>
  <r>
    <x v="0"/>
    <n v="29"/>
    <x v="8"/>
    <x v="2"/>
    <x v="0"/>
    <n v="1794"/>
    <d v="2024-07-02T00:00:00"/>
    <d v="2027-07-02T00:00:00"/>
    <n v="295"/>
    <n v="237"/>
    <n v="58"/>
    <x v="1"/>
    <d v="2024-07-06T00:00:00"/>
    <d v="2024-07-28T00:00:00"/>
    <n v="425178"/>
  </r>
  <r>
    <x v="0"/>
    <n v="30"/>
    <x v="4"/>
    <x v="5"/>
    <x v="2"/>
    <n v="2291"/>
    <d v="2024-09-04T00:00:00"/>
    <d v="2027-09-04T00:00:00"/>
    <n v="184"/>
    <n v="183"/>
    <n v="1"/>
    <x v="3"/>
    <d v="2024-10-30T00:00:00"/>
    <d v="2025-01-22T00:00:00"/>
    <n v="419253"/>
  </r>
  <r>
    <x v="0"/>
    <n v="31"/>
    <x v="1"/>
    <x v="3"/>
    <x v="4"/>
    <n v="1220"/>
    <d v="2024-05-16T00:00:00"/>
    <d v="2027-05-16T00:00:00"/>
    <n v="171"/>
    <n v="14"/>
    <n v="157"/>
    <x v="3"/>
    <d v="2024-11-12T00:00:00"/>
    <d v="2024-12-30T00:00:00"/>
    <n v="17080"/>
  </r>
  <r>
    <x v="0"/>
    <n v="32"/>
    <x v="6"/>
    <x v="8"/>
    <x v="4"/>
    <n v="3267"/>
    <d v="2024-06-03T00:00:00"/>
    <d v="2027-06-03T00:00:00"/>
    <n v="54"/>
    <n v="50"/>
    <n v="4"/>
    <x v="2"/>
    <d v="2024-11-15T00:00:00"/>
    <d v="2024-12-29T00:00:00"/>
    <n v="163350"/>
  </r>
  <r>
    <x v="0"/>
    <n v="33"/>
    <x v="4"/>
    <x v="6"/>
    <x v="5"/>
    <n v="1684"/>
    <d v="2024-07-14T00:00:00"/>
    <d v="2027-07-14T00:00:00"/>
    <n v="84"/>
    <n v="5"/>
    <n v="79"/>
    <x v="4"/>
    <d v="2024-12-30T00:00:00"/>
    <d v="2025-01-01T00:00:00"/>
    <n v="8420"/>
  </r>
  <r>
    <x v="0"/>
    <n v="34"/>
    <x v="2"/>
    <x v="6"/>
    <x v="2"/>
    <n v="2034"/>
    <d v="2024-08-08T00:00:00"/>
    <d v="2027-08-08T00:00:00"/>
    <n v="248"/>
    <n v="87"/>
    <n v="161"/>
    <x v="0"/>
    <d v="2024-09-26T00:00:00"/>
    <d v="2024-10-03T00:00:00"/>
    <n v="176958"/>
  </r>
  <r>
    <x v="1"/>
    <n v="1"/>
    <x v="7"/>
    <x v="0"/>
    <x v="5"/>
    <n v="1387"/>
    <d v="2024-02-20T00:00:00"/>
    <d v="2027-02-19T00:00:00"/>
    <n v="145"/>
    <n v="125"/>
    <n v="20"/>
    <x v="2"/>
    <d v="2024-08-01T00:00:00"/>
    <d v="2024-11-24T00:00:00"/>
    <n v="173375"/>
  </r>
  <r>
    <x v="1"/>
    <n v="2"/>
    <x v="5"/>
    <x v="9"/>
    <x v="4"/>
    <n v="3099"/>
    <d v="2025-02-06T00:00:00"/>
    <d v="2028-02-06T00:00:00"/>
    <n v="201"/>
    <n v="147"/>
    <n v="54"/>
    <x v="2"/>
    <d v="2025-02-11T00:00:00"/>
    <d v="2025-02-13T00:00:00"/>
    <n v="455553"/>
  </r>
  <r>
    <x v="1"/>
    <n v="3"/>
    <x v="7"/>
    <x v="0"/>
    <x v="5"/>
    <n v="976"/>
    <d v="2024-12-25T00:00:00"/>
    <d v="2027-12-25T00:00:00"/>
    <n v="183"/>
    <n v="170"/>
    <n v="13"/>
    <x v="0"/>
    <d v="2025-02-04T00:00:00"/>
    <d v="2025-02-10T00:00:00"/>
    <n v="165920"/>
  </r>
  <r>
    <x v="1"/>
    <n v="4"/>
    <x v="3"/>
    <x v="3"/>
    <x v="3"/>
    <n v="4806"/>
    <d v="2024-11-08T00:00:00"/>
    <d v="2027-11-08T00:00:00"/>
    <n v="161"/>
    <n v="154"/>
    <n v="7"/>
    <x v="2"/>
    <d v="2024-12-18T00:00:00"/>
    <d v="2025-01-31T00:00:00"/>
    <n v="740124"/>
  </r>
  <r>
    <x v="1"/>
    <n v="5"/>
    <x v="7"/>
    <x v="0"/>
    <x v="1"/>
    <n v="2540"/>
    <d v="2024-11-13T00:00:00"/>
    <d v="2027-11-13T00:00:00"/>
    <n v="126"/>
    <n v="52"/>
    <n v="74"/>
    <x v="1"/>
    <d v="2025-01-12T00:00:00"/>
    <d v="2025-02-01T00:00:00"/>
    <n v="132080"/>
  </r>
  <r>
    <x v="1"/>
    <n v="6"/>
    <x v="4"/>
    <x v="0"/>
    <x v="0"/>
    <n v="853"/>
    <d v="2024-09-29T00:00:00"/>
    <d v="2027-09-29T00:00:00"/>
    <n v="144"/>
    <n v="35"/>
    <n v="109"/>
    <x v="0"/>
    <d v="2025-01-01T00:00:00"/>
    <d v="2025-01-13T00:00:00"/>
    <n v="29855"/>
  </r>
  <r>
    <x v="1"/>
    <n v="7"/>
    <x v="5"/>
    <x v="3"/>
    <x v="2"/>
    <n v="2474"/>
    <d v="2024-10-23T00:00:00"/>
    <d v="2027-10-23T00:00:00"/>
    <n v="123"/>
    <n v="77"/>
    <n v="46"/>
    <x v="0"/>
    <d v="2025-02-10T00:00:00"/>
    <d v="2025-02-11T00:00:00"/>
    <n v="190498"/>
  </r>
  <r>
    <x v="1"/>
    <n v="8"/>
    <x v="9"/>
    <x v="3"/>
    <x v="3"/>
    <n v="1481"/>
    <d v="2024-06-09T00:00:00"/>
    <d v="2027-06-09T00:00:00"/>
    <n v="94"/>
    <n v="67"/>
    <n v="27"/>
    <x v="4"/>
    <d v="2024-08-30T00:00:00"/>
    <d v="2025-01-01T00:00:00"/>
    <n v="99227"/>
  </r>
  <r>
    <x v="1"/>
    <n v="9"/>
    <x v="5"/>
    <x v="2"/>
    <x v="3"/>
    <n v="3991"/>
    <d v="2024-09-01T00:00:00"/>
    <d v="2027-09-01T00:00:00"/>
    <n v="162"/>
    <n v="58"/>
    <n v="104"/>
    <x v="2"/>
    <d v="2024-12-10T00:00:00"/>
    <d v="2025-01-10T00:00:00"/>
    <n v="231478"/>
  </r>
  <r>
    <x v="1"/>
    <n v="10"/>
    <x v="6"/>
    <x v="3"/>
    <x v="2"/>
    <n v="1434"/>
    <d v="2024-12-29T00:00:00"/>
    <d v="2027-12-29T00:00:00"/>
    <n v="58"/>
    <n v="48"/>
    <n v="10"/>
    <x v="1"/>
    <d v="2025-02-01T00:00:00"/>
    <d v="2025-02-17T00:00:00"/>
    <n v="68832"/>
  </r>
  <r>
    <x v="1"/>
    <n v="11"/>
    <x v="4"/>
    <x v="9"/>
    <x v="2"/>
    <n v="803"/>
    <d v="2024-03-23T00:00:00"/>
    <d v="2027-03-23T00:00:00"/>
    <n v="251"/>
    <n v="29"/>
    <n v="222"/>
    <x v="2"/>
    <d v="2024-09-24T00:00:00"/>
    <d v="2024-11-11T00:00:00"/>
    <n v="23287"/>
  </r>
  <r>
    <x v="1"/>
    <n v="12"/>
    <x v="4"/>
    <x v="1"/>
    <x v="5"/>
    <n v="2084"/>
    <d v="2024-07-10T00:00:00"/>
    <d v="2027-07-10T00:00:00"/>
    <n v="112"/>
    <n v="85"/>
    <n v="27"/>
    <x v="1"/>
    <d v="2024-11-18T00:00:00"/>
    <d v="2024-12-10T00:00:00"/>
    <n v="177140"/>
  </r>
  <r>
    <x v="1"/>
    <n v="13"/>
    <x v="4"/>
    <x v="7"/>
    <x v="3"/>
    <n v="2277"/>
    <d v="2024-04-23T00:00:00"/>
    <d v="2027-04-23T00:00:00"/>
    <n v="280"/>
    <n v="262"/>
    <n v="18"/>
    <x v="1"/>
    <d v="2024-07-26T00:00:00"/>
    <d v="2025-02-13T00:00:00"/>
    <n v="596574"/>
  </r>
  <r>
    <x v="1"/>
    <n v="14"/>
    <x v="3"/>
    <x v="5"/>
    <x v="1"/>
    <n v="924"/>
    <d v="2024-02-21T00:00:00"/>
    <d v="2027-02-20T00:00:00"/>
    <n v="98"/>
    <n v="96"/>
    <n v="2"/>
    <x v="3"/>
    <d v="2024-10-05T00:00:00"/>
    <d v="2024-11-28T00:00:00"/>
    <n v="88704"/>
  </r>
  <r>
    <x v="1"/>
    <n v="15"/>
    <x v="6"/>
    <x v="7"/>
    <x v="4"/>
    <n v="2658"/>
    <d v="2024-06-03T00:00:00"/>
    <d v="2027-06-03T00:00:00"/>
    <n v="192"/>
    <n v="172"/>
    <n v="20"/>
    <x v="1"/>
    <d v="2024-11-23T00:00:00"/>
    <d v="2024-12-19T00:00:00"/>
    <n v="457176"/>
  </r>
  <r>
    <x v="1"/>
    <n v="16"/>
    <x v="9"/>
    <x v="8"/>
    <x v="4"/>
    <n v="2673"/>
    <d v="2024-06-27T00:00:00"/>
    <d v="2027-06-27T00:00:00"/>
    <n v="81"/>
    <n v="65"/>
    <n v="16"/>
    <x v="4"/>
    <d v="2025-01-25T00:00:00"/>
    <d v="2025-02-04T00:00:00"/>
    <n v="173745"/>
  </r>
  <r>
    <x v="1"/>
    <n v="17"/>
    <x v="6"/>
    <x v="2"/>
    <x v="1"/>
    <n v="2660"/>
    <d v="2025-01-02T00:00:00"/>
    <d v="2028-01-02T00:00:00"/>
    <n v="283"/>
    <n v="188"/>
    <n v="95"/>
    <x v="1"/>
    <d v="2025-01-25T00:00:00"/>
    <d v="2025-02-03T00:00:00"/>
    <n v="500080"/>
  </r>
  <r>
    <x v="1"/>
    <n v="18"/>
    <x v="1"/>
    <x v="4"/>
    <x v="0"/>
    <n v="1972"/>
    <d v="2024-07-09T00:00:00"/>
    <d v="2027-07-09T00:00:00"/>
    <n v="195"/>
    <n v="163"/>
    <n v="32"/>
    <x v="3"/>
    <d v="2024-10-11T00:00:00"/>
    <d v="2025-01-29T00:00:00"/>
    <n v="321436"/>
  </r>
  <r>
    <x v="1"/>
    <n v="19"/>
    <x v="6"/>
    <x v="9"/>
    <x v="0"/>
    <n v="4793"/>
    <d v="2024-08-14T00:00:00"/>
    <d v="2027-08-14T00:00:00"/>
    <n v="270"/>
    <n v="22"/>
    <n v="248"/>
    <x v="3"/>
    <d v="2024-09-12T00:00:00"/>
    <d v="2024-10-13T00:00:00"/>
    <n v="105446"/>
  </r>
  <r>
    <x v="1"/>
    <n v="20"/>
    <x v="7"/>
    <x v="4"/>
    <x v="1"/>
    <n v="3290"/>
    <d v="2024-11-10T00:00:00"/>
    <d v="2027-11-10T00:00:00"/>
    <n v="122"/>
    <n v="65"/>
    <n v="57"/>
    <x v="0"/>
    <d v="2024-12-09T00:00:00"/>
    <d v="2025-01-02T00:00:00"/>
    <n v="213850"/>
  </r>
  <r>
    <x v="1"/>
    <n v="21"/>
    <x v="8"/>
    <x v="0"/>
    <x v="3"/>
    <n v="4777"/>
    <d v="2024-04-16T00:00:00"/>
    <d v="2027-04-16T00:00:00"/>
    <n v="54"/>
    <n v="27"/>
    <n v="27"/>
    <x v="0"/>
    <d v="2024-07-18T00:00:00"/>
    <d v="2025-01-04T00:00:00"/>
    <n v="128979"/>
  </r>
  <r>
    <x v="1"/>
    <n v="22"/>
    <x v="6"/>
    <x v="0"/>
    <x v="2"/>
    <n v="672"/>
    <d v="2024-05-29T00:00:00"/>
    <d v="2027-05-29T00:00:00"/>
    <n v="112"/>
    <n v="69"/>
    <n v="43"/>
    <x v="1"/>
    <d v="2024-06-15T00:00:00"/>
    <d v="2024-08-02T00:00:00"/>
    <n v="46368"/>
  </r>
  <r>
    <x v="1"/>
    <n v="23"/>
    <x v="8"/>
    <x v="4"/>
    <x v="4"/>
    <n v="1240"/>
    <d v="2025-02-07T00:00:00"/>
    <d v="2028-02-07T00:00:00"/>
    <n v="93"/>
    <n v="26"/>
    <n v="67"/>
    <x v="0"/>
    <d v="2025-02-19T00:00:00"/>
    <d v="2025-02-19T00:00:00"/>
    <n v="32240"/>
  </r>
  <r>
    <x v="1"/>
    <n v="24"/>
    <x v="2"/>
    <x v="4"/>
    <x v="1"/>
    <n v="1114"/>
    <d v="2024-04-15T00:00:00"/>
    <d v="2027-04-15T00:00:00"/>
    <n v="62"/>
    <n v="7"/>
    <n v="55"/>
    <x v="4"/>
    <d v="2025-01-22T00:00:00"/>
    <d v="2025-01-22T00:00:00"/>
    <n v="7798"/>
  </r>
  <r>
    <x v="1"/>
    <n v="25"/>
    <x v="1"/>
    <x v="6"/>
    <x v="5"/>
    <n v="2207"/>
    <d v="2024-08-25T00:00:00"/>
    <d v="2027-08-25T00:00:00"/>
    <n v="235"/>
    <n v="186"/>
    <n v="49"/>
    <x v="1"/>
    <d v="2024-09-23T00:00:00"/>
    <d v="2025-01-21T00:00:00"/>
    <n v="410502"/>
  </r>
  <r>
    <x v="1"/>
    <n v="26"/>
    <x v="8"/>
    <x v="9"/>
    <x v="2"/>
    <n v="4098"/>
    <d v="2024-07-20T00:00:00"/>
    <d v="2027-07-20T00:00:00"/>
    <n v="53"/>
    <n v="38"/>
    <n v="15"/>
    <x v="2"/>
    <d v="2025-01-18T00:00:00"/>
    <d v="2025-02-15T00:00:00"/>
    <n v="155724"/>
  </r>
  <r>
    <x v="1"/>
    <n v="27"/>
    <x v="0"/>
    <x v="7"/>
    <x v="4"/>
    <n v="4065"/>
    <d v="2024-11-09T00:00:00"/>
    <d v="2027-11-09T00:00:00"/>
    <n v="201"/>
    <n v="170"/>
    <n v="31"/>
    <x v="2"/>
    <d v="2025-01-11T00:00:00"/>
    <d v="2025-02-09T00:00:00"/>
    <n v="691050"/>
  </r>
  <r>
    <x v="1"/>
    <n v="28"/>
    <x v="7"/>
    <x v="3"/>
    <x v="3"/>
    <n v="2138"/>
    <d v="2024-07-21T00:00:00"/>
    <d v="2027-07-21T00:00:00"/>
    <n v="267"/>
    <n v="214"/>
    <n v="53"/>
    <x v="0"/>
    <d v="2024-11-19T00:00:00"/>
    <d v="2025-02-06T00:00:00"/>
    <n v="457532"/>
  </r>
  <r>
    <x v="1"/>
    <n v="29"/>
    <x v="2"/>
    <x v="5"/>
    <x v="4"/>
    <n v="4548"/>
    <d v="2024-09-05T00:00:00"/>
    <d v="2027-09-05T00:00:00"/>
    <n v="181"/>
    <n v="172"/>
    <n v="9"/>
    <x v="2"/>
    <d v="2024-10-21T00:00:00"/>
    <d v="2024-11-15T00:00:00"/>
    <n v="782256"/>
  </r>
  <r>
    <x v="1"/>
    <n v="30"/>
    <x v="9"/>
    <x v="1"/>
    <x v="0"/>
    <n v="3895"/>
    <d v="2024-11-27T00:00:00"/>
    <d v="2027-11-27T00:00:00"/>
    <n v="250"/>
    <n v="6"/>
    <n v="244"/>
    <x v="0"/>
    <d v="2025-02-12T00:00:00"/>
    <d v="2025-02-18T00:00:00"/>
    <n v="23370"/>
  </r>
  <r>
    <x v="1"/>
    <n v="31"/>
    <x v="8"/>
    <x v="7"/>
    <x v="5"/>
    <n v="1579"/>
    <d v="2024-09-16T00:00:00"/>
    <d v="2027-09-16T00:00:00"/>
    <n v="297"/>
    <n v="18"/>
    <n v="279"/>
    <x v="4"/>
    <d v="2024-11-11T00:00:00"/>
    <d v="2025-02-04T00:00:00"/>
    <n v="28422"/>
  </r>
  <r>
    <x v="1"/>
    <n v="32"/>
    <x v="8"/>
    <x v="9"/>
    <x v="3"/>
    <n v="2512"/>
    <d v="2024-06-03T00:00:00"/>
    <d v="2027-06-03T00:00:00"/>
    <n v="132"/>
    <n v="115"/>
    <n v="17"/>
    <x v="2"/>
    <d v="2024-08-01T00:00:00"/>
    <d v="2024-09-08T00:00:00"/>
    <n v="288880"/>
  </r>
  <r>
    <x v="1"/>
    <n v="33"/>
    <x v="5"/>
    <x v="5"/>
    <x v="0"/>
    <n v="1100"/>
    <d v="2024-12-04T00:00:00"/>
    <d v="2027-12-04T00:00:00"/>
    <n v="188"/>
    <n v="26"/>
    <n v="162"/>
    <x v="0"/>
    <d v="2024-12-07T00:00:00"/>
    <d v="2025-01-30T00:00:00"/>
    <n v="28600"/>
  </r>
  <r>
    <x v="1"/>
    <n v="34"/>
    <x v="2"/>
    <x v="5"/>
    <x v="0"/>
    <n v="2913"/>
    <d v="2024-08-13T00:00:00"/>
    <d v="2027-08-13T00:00:00"/>
    <n v="60"/>
    <n v="49"/>
    <n v="11"/>
    <x v="2"/>
    <d v="2025-02-03T00:00:00"/>
    <d v="2025-02-16T00:00:00"/>
    <n v="142737"/>
  </r>
  <r>
    <x v="2"/>
    <n v="1"/>
    <x v="8"/>
    <x v="4"/>
    <x v="4"/>
    <n v="2989"/>
    <d v="2024-10-26T00:00:00"/>
    <d v="2027-10-26T00:00:00"/>
    <n v="359"/>
    <n v="348"/>
    <n v="11"/>
    <x v="1"/>
    <d v="2025-01-13T00:00:00"/>
    <d v="2025-01-27T00:00:00"/>
    <n v="1040172"/>
  </r>
  <r>
    <x v="2"/>
    <n v="2"/>
    <x v="3"/>
    <x v="5"/>
    <x v="3"/>
    <n v="1957"/>
    <d v="2024-12-18T00:00:00"/>
    <d v="2027-12-18T00:00:00"/>
    <n v="122"/>
    <n v="80"/>
    <n v="42"/>
    <x v="3"/>
    <d v="2025-01-09T00:00:00"/>
    <d v="2025-02-13T00:00:00"/>
    <n v="156560"/>
  </r>
  <r>
    <x v="2"/>
    <n v="3"/>
    <x v="3"/>
    <x v="7"/>
    <x v="4"/>
    <n v="4904"/>
    <d v="2024-07-24T00:00:00"/>
    <d v="2027-07-24T00:00:00"/>
    <n v="291"/>
    <n v="190"/>
    <n v="101"/>
    <x v="2"/>
    <d v="2024-09-22T00:00:00"/>
    <d v="2024-11-28T00:00:00"/>
    <n v="931760"/>
  </r>
  <r>
    <x v="2"/>
    <n v="4"/>
    <x v="3"/>
    <x v="8"/>
    <x v="2"/>
    <n v="4809"/>
    <d v="2024-10-04T00:00:00"/>
    <d v="2027-10-04T00:00:00"/>
    <n v="173"/>
    <n v="14"/>
    <n v="159"/>
    <x v="3"/>
    <d v="2025-02-08T00:00:00"/>
    <d v="2025-02-19T00:00:00"/>
    <n v="67326"/>
  </r>
  <r>
    <x v="2"/>
    <n v="5"/>
    <x v="6"/>
    <x v="0"/>
    <x v="0"/>
    <n v="2348"/>
    <d v="2024-10-26T00:00:00"/>
    <d v="2027-10-26T00:00:00"/>
    <n v="61"/>
    <n v="0"/>
    <n v="61"/>
    <x v="2"/>
    <d v="2025-01-04T00:00:00"/>
    <d v="2025-02-11T00:00:00"/>
    <n v="0"/>
  </r>
  <r>
    <x v="2"/>
    <n v="6"/>
    <x v="3"/>
    <x v="9"/>
    <x v="5"/>
    <n v="2572"/>
    <d v="2025-01-12T00:00:00"/>
    <d v="2028-01-12T00:00:00"/>
    <n v="209"/>
    <n v="72"/>
    <n v="137"/>
    <x v="1"/>
    <d v="2025-01-14T00:00:00"/>
    <d v="2025-02-08T00:00:00"/>
    <n v="185184"/>
  </r>
  <r>
    <x v="2"/>
    <n v="7"/>
    <x v="5"/>
    <x v="8"/>
    <x v="1"/>
    <n v="3228"/>
    <d v="2024-05-21T00:00:00"/>
    <d v="2027-05-21T00:00:00"/>
    <n v="204"/>
    <n v="181"/>
    <n v="23"/>
    <x v="0"/>
    <d v="2024-09-08T00:00:00"/>
    <d v="2025-01-07T00:00:00"/>
    <n v="584268"/>
  </r>
  <r>
    <x v="2"/>
    <n v="8"/>
    <x v="8"/>
    <x v="5"/>
    <x v="5"/>
    <n v="4359"/>
    <d v="2024-05-28T00:00:00"/>
    <d v="2027-05-28T00:00:00"/>
    <n v="225"/>
    <n v="17"/>
    <n v="208"/>
    <x v="1"/>
    <d v="2025-02-15T00:00:00"/>
    <d v="2025-02-17T00:00:00"/>
    <n v="74103"/>
  </r>
  <r>
    <x v="2"/>
    <n v="9"/>
    <x v="3"/>
    <x v="8"/>
    <x v="1"/>
    <n v="2372"/>
    <d v="2024-10-06T00:00:00"/>
    <d v="2027-10-06T00:00:00"/>
    <n v="91"/>
    <n v="91"/>
    <n v="0"/>
    <x v="0"/>
    <d v="2024-12-10T00:00:00"/>
    <d v="2024-12-16T00:00:00"/>
    <n v="215852"/>
  </r>
  <r>
    <x v="2"/>
    <n v="10"/>
    <x v="2"/>
    <x v="5"/>
    <x v="4"/>
    <n v="3078"/>
    <d v="2024-11-06T00:00:00"/>
    <d v="2027-11-06T00:00:00"/>
    <n v="199"/>
    <n v="1"/>
    <n v="198"/>
    <x v="4"/>
    <d v="2025-02-05T00:00:00"/>
    <d v="2025-02-19T00:00:00"/>
    <n v="3078"/>
  </r>
  <r>
    <x v="2"/>
    <n v="11"/>
    <x v="1"/>
    <x v="0"/>
    <x v="4"/>
    <n v="915"/>
    <d v="2024-12-14T00:00:00"/>
    <d v="2027-12-14T00:00:00"/>
    <n v="250"/>
    <n v="0"/>
    <n v="250"/>
    <x v="3"/>
    <d v="2025-01-21T00:00:00"/>
    <d v="2025-01-21T00:00:00"/>
    <n v="0"/>
  </r>
  <r>
    <x v="2"/>
    <n v="12"/>
    <x v="3"/>
    <x v="2"/>
    <x v="1"/>
    <n v="1405"/>
    <d v="2024-03-01T00:00:00"/>
    <d v="2027-03-01T00:00:00"/>
    <n v="117"/>
    <n v="10"/>
    <n v="107"/>
    <x v="1"/>
    <d v="2025-01-09T00:00:00"/>
    <d v="2025-01-10T00:00:00"/>
    <n v="14050"/>
  </r>
  <r>
    <x v="2"/>
    <n v="13"/>
    <x v="4"/>
    <x v="8"/>
    <x v="3"/>
    <n v="2031"/>
    <d v="2025-01-01T00:00:00"/>
    <d v="2028-01-01T00:00:00"/>
    <n v="214"/>
    <n v="212"/>
    <n v="2"/>
    <x v="1"/>
    <d v="2025-01-24T00:00:00"/>
    <d v="2025-02-11T00:00:00"/>
    <n v="430572"/>
  </r>
  <r>
    <x v="2"/>
    <n v="14"/>
    <x v="2"/>
    <x v="5"/>
    <x v="1"/>
    <n v="2774"/>
    <d v="2024-08-17T00:00:00"/>
    <d v="2027-08-17T00:00:00"/>
    <n v="131"/>
    <n v="7"/>
    <n v="124"/>
    <x v="1"/>
    <d v="2024-10-10T00:00:00"/>
    <d v="2025-01-22T00:00:00"/>
    <n v="19418"/>
  </r>
  <r>
    <x v="2"/>
    <n v="15"/>
    <x v="9"/>
    <x v="1"/>
    <x v="1"/>
    <n v="2172"/>
    <d v="2024-12-11T00:00:00"/>
    <d v="2027-12-11T00:00:00"/>
    <n v="154"/>
    <n v="134"/>
    <n v="20"/>
    <x v="2"/>
    <d v="2025-02-08T00:00:00"/>
    <d v="2025-02-15T00:00:00"/>
    <n v="291048"/>
  </r>
  <r>
    <x v="2"/>
    <n v="16"/>
    <x v="7"/>
    <x v="7"/>
    <x v="5"/>
    <n v="4642"/>
    <d v="2024-12-20T00:00:00"/>
    <d v="2027-12-20T00:00:00"/>
    <n v="168"/>
    <n v="71"/>
    <n v="97"/>
    <x v="3"/>
    <d v="2025-01-19T00:00:00"/>
    <d v="2025-02-10T00:00:00"/>
    <n v="329582"/>
  </r>
  <r>
    <x v="2"/>
    <n v="17"/>
    <x v="4"/>
    <x v="7"/>
    <x v="2"/>
    <n v="2717"/>
    <d v="2024-10-28T00:00:00"/>
    <d v="2027-10-28T00:00:00"/>
    <n v="238"/>
    <n v="155"/>
    <n v="83"/>
    <x v="3"/>
    <d v="2025-01-21T00:00:00"/>
    <d v="2025-02-06T00:00:00"/>
    <n v="421135"/>
  </r>
  <r>
    <x v="2"/>
    <n v="18"/>
    <x v="6"/>
    <x v="5"/>
    <x v="2"/>
    <n v="3336"/>
    <d v="2024-03-11T00:00:00"/>
    <d v="2027-03-11T00:00:00"/>
    <n v="146"/>
    <n v="130"/>
    <n v="16"/>
    <x v="0"/>
    <d v="2024-10-27T00:00:00"/>
    <d v="2024-11-20T00:00:00"/>
    <n v="433680"/>
  </r>
  <r>
    <x v="2"/>
    <n v="19"/>
    <x v="9"/>
    <x v="9"/>
    <x v="3"/>
    <n v="3117"/>
    <d v="2024-03-11T00:00:00"/>
    <d v="2027-03-11T00:00:00"/>
    <n v="164"/>
    <n v="102"/>
    <n v="62"/>
    <x v="3"/>
    <d v="2024-03-26T00:00:00"/>
    <d v="2025-02-19T00:00:00"/>
    <n v="317934"/>
  </r>
  <r>
    <x v="2"/>
    <n v="20"/>
    <x v="5"/>
    <x v="5"/>
    <x v="5"/>
    <n v="4308"/>
    <d v="2024-06-04T00:00:00"/>
    <d v="2027-06-04T00:00:00"/>
    <n v="136"/>
    <n v="89"/>
    <n v="47"/>
    <x v="0"/>
    <d v="2024-12-04T00:00:00"/>
    <d v="2024-12-09T00:00:00"/>
    <n v="383412"/>
  </r>
  <r>
    <x v="2"/>
    <n v="21"/>
    <x v="1"/>
    <x v="1"/>
    <x v="2"/>
    <n v="2115"/>
    <d v="2024-08-10T00:00:00"/>
    <d v="2027-08-10T00:00:00"/>
    <n v="129"/>
    <n v="75"/>
    <n v="54"/>
    <x v="1"/>
    <d v="2025-01-14T00:00:00"/>
    <d v="2025-01-29T00:00:00"/>
    <n v="158625"/>
  </r>
  <r>
    <x v="2"/>
    <n v="22"/>
    <x v="8"/>
    <x v="8"/>
    <x v="1"/>
    <n v="1676"/>
    <d v="2024-08-30T00:00:00"/>
    <d v="2027-08-30T00:00:00"/>
    <n v="228"/>
    <n v="46"/>
    <n v="182"/>
    <x v="3"/>
    <d v="2024-09-17T00:00:00"/>
    <d v="2024-11-24T00:00:00"/>
    <n v="77096"/>
  </r>
  <r>
    <x v="2"/>
    <n v="23"/>
    <x v="3"/>
    <x v="2"/>
    <x v="3"/>
    <n v="1735"/>
    <d v="2025-02-13T00:00:00"/>
    <d v="2028-02-13T00:00:00"/>
    <n v="124"/>
    <n v="4"/>
    <n v="120"/>
    <x v="0"/>
    <d v="2025-02-16T00:00:00"/>
    <d v="2025-02-18T00:00:00"/>
    <n v="6940"/>
  </r>
  <r>
    <x v="2"/>
    <n v="24"/>
    <x v="7"/>
    <x v="1"/>
    <x v="0"/>
    <n v="4588"/>
    <d v="2025-01-31T00:00:00"/>
    <d v="2028-01-31T00:00:00"/>
    <n v="112"/>
    <n v="97"/>
    <n v="15"/>
    <x v="0"/>
    <d v="2025-02-13T00:00:00"/>
    <d v="2025-02-16T00:00:00"/>
    <n v="445036"/>
  </r>
  <r>
    <x v="2"/>
    <n v="25"/>
    <x v="4"/>
    <x v="2"/>
    <x v="2"/>
    <n v="4110"/>
    <d v="2024-03-28T00:00:00"/>
    <d v="2027-03-28T00:00:00"/>
    <n v="162"/>
    <n v="144"/>
    <n v="18"/>
    <x v="4"/>
    <d v="2025-01-10T00:00:00"/>
    <d v="2025-01-14T00:00:00"/>
    <n v="591840"/>
  </r>
  <r>
    <x v="2"/>
    <n v="26"/>
    <x v="1"/>
    <x v="2"/>
    <x v="0"/>
    <n v="2005"/>
    <d v="2024-11-25T00:00:00"/>
    <d v="2027-11-25T00:00:00"/>
    <n v="141"/>
    <n v="125"/>
    <n v="16"/>
    <x v="2"/>
    <d v="2024-12-23T00:00:00"/>
    <d v="2025-01-18T00:00:00"/>
    <n v="250625"/>
  </r>
  <r>
    <x v="2"/>
    <n v="27"/>
    <x v="0"/>
    <x v="1"/>
    <x v="1"/>
    <n v="2862"/>
    <d v="2024-11-16T00:00:00"/>
    <d v="2027-11-16T00:00:00"/>
    <n v="277"/>
    <n v="239"/>
    <n v="38"/>
    <x v="0"/>
    <d v="2025-01-03T00:00:00"/>
    <d v="2025-01-18T00:00:00"/>
    <n v="684018"/>
  </r>
  <r>
    <x v="2"/>
    <n v="28"/>
    <x v="4"/>
    <x v="8"/>
    <x v="0"/>
    <n v="3898"/>
    <d v="2024-03-01T00:00:00"/>
    <d v="2027-03-01T00:00:00"/>
    <n v="282"/>
    <n v="53"/>
    <n v="229"/>
    <x v="4"/>
    <d v="2024-04-17T00:00:00"/>
    <d v="2024-06-28T00:00:00"/>
    <n v="206594"/>
  </r>
  <r>
    <x v="2"/>
    <n v="29"/>
    <x v="4"/>
    <x v="6"/>
    <x v="3"/>
    <n v="3329"/>
    <d v="2024-07-16T00:00:00"/>
    <d v="2027-07-16T00:00:00"/>
    <n v="102"/>
    <n v="73"/>
    <n v="29"/>
    <x v="4"/>
    <d v="2024-12-19T00:00:00"/>
    <d v="2025-02-16T00:00:00"/>
    <n v="243017"/>
  </r>
  <r>
    <x v="2"/>
    <n v="30"/>
    <x v="5"/>
    <x v="7"/>
    <x v="1"/>
    <n v="4411"/>
    <d v="2024-04-23T00:00:00"/>
    <d v="2027-04-23T00:00:00"/>
    <n v="160"/>
    <n v="110"/>
    <n v="50"/>
    <x v="3"/>
    <d v="2024-09-05T00:00:00"/>
    <d v="2024-09-13T00:00:00"/>
    <n v="485210"/>
  </r>
  <r>
    <x v="2"/>
    <n v="31"/>
    <x v="4"/>
    <x v="3"/>
    <x v="5"/>
    <n v="3660"/>
    <d v="2025-01-23T00:00:00"/>
    <d v="2028-01-23T00:00:00"/>
    <n v="91"/>
    <n v="21"/>
    <n v="70"/>
    <x v="0"/>
    <d v="2025-01-29T00:00:00"/>
    <d v="2025-02-10T00:00:00"/>
    <n v="76860"/>
  </r>
  <r>
    <x v="2"/>
    <n v="32"/>
    <x v="9"/>
    <x v="6"/>
    <x v="1"/>
    <n v="4107"/>
    <d v="2024-05-29T00:00:00"/>
    <d v="2027-05-29T00:00:00"/>
    <n v="244"/>
    <n v="127"/>
    <n v="117"/>
    <x v="0"/>
    <d v="2024-09-15T00:00:00"/>
    <d v="2025-01-01T00:00:00"/>
    <n v="521589"/>
  </r>
  <r>
    <x v="2"/>
    <n v="33"/>
    <x v="5"/>
    <x v="4"/>
    <x v="3"/>
    <n v="3097"/>
    <d v="2024-12-01T00:00:00"/>
    <d v="2027-12-01T00:00:00"/>
    <n v="285"/>
    <n v="179"/>
    <n v="106"/>
    <x v="3"/>
    <d v="2025-01-08T00:00:00"/>
    <d v="2025-01-20T00:00:00"/>
    <n v="554363"/>
  </r>
  <r>
    <x v="2"/>
    <n v="34"/>
    <x v="8"/>
    <x v="1"/>
    <x v="0"/>
    <n v="3344"/>
    <d v="2024-10-27T00:00:00"/>
    <d v="2027-10-27T00:00:00"/>
    <n v="127"/>
    <n v="6"/>
    <n v="121"/>
    <x v="1"/>
    <d v="2025-02-13T00:00:00"/>
    <d v="2025-02-18T00:00:00"/>
    <n v="20064"/>
  </r>
  <r>
    <x v="3"/>
    <n v="1"/>
    <x v="7"/>
    <x v="5"/>
    <x v="3"/>
    <n v="1787"/>
    <d v="2024-06-30T00:00:00"/>
    <d v="2027-06-30T00:00:00"/>
    <n v="69"/>
    <n v="44"/>
    <n v="25"/>
    <x v="1"/>
    <d v="2024-09-06T00:00:00"/>
    <d v="2025-01-28T00:00:00"/>
    <n v="78628"/>
  </r>
  <r>
    <x v="3"/>
    <n v="2"/>
    <x v="1"/>
    <x v="2"/>
    <x v="4"/>
    <n v="1010"/>
    <d v="2025-01-14T00:00:00"/>
    <d v="2028-01-14T00:00:00"/>
    <n v="144"/>
    <n v="27"/>
    <n v="117"/>
    <x v="2"/>
    <d v="2025-02-12T00:00:00"/>
    <d v="2025-02-15T00:00:00"/>
    <n v="27270"/>
  </r>
  <r>
    <x v="3"/>
    <n v="3"/>
    <x v="9"/>
    <x v="8"/>
    <x v="1"/>
    <n v="3077"/>
    <d v="2025-02-04T00:00:00"/>
    <d v="2028-02-04T00:00:00"/>
    <n v="103"/>
    <n v="59"/>
    <n v="44"/>
    <x v="1"/>
    <d v="2025-02-05T00:00:00"/>
    <d v="2025-02-09T00:00:00"/>
    <n v="181543"/>
  </r>
  <r>
    <x v="3"/>
    <n v="4"/>
    <x v="2"/>
    <x v="4"/>
    <x v="4"/>
    <n v="3396"/>
    <d v="2024-08-25T00:00:00"/>
    <d v="2027-08-25T00:00:00"/>
    <n v="235"/>
    <n v="192"/>
    <n v="43"/>
    <x v="2"/>
    <d v="2024-10-23T00:00:00"/>
    <d v="2024-10-31T00:00:00"/>
    <n v="652032"/>
  </r>
  <r>
    <x v="3"/>
    <n v="5"/>
    <x v="9"/>
    <x v="9"/>
    <x v="2"/>
    <n v="3635"/>
    <d v="2025-02-09T00:00:00"/>
    <d v="2028-02-09T00:00:00"/>
    <n v="129"/>
    <n v="106"/>
    <n v="23"/>
    <x v="0"/>
    <d v="2025-02-14T00:00:00"/>
    <d v="2025-02-15T00:00:00"/>
    <n v="385310"/>
  </r>
  <r>
    <x v="3"/>
    <n v="6"/>
    <x v="0"/>
    <x v="5"/>
    <x v="5"/>
    <n v="2282"/>
    <d v="2024-11-04T00:00:00"/>
    <d v="2027-11-04T00:00:00"/>
    <n v="207"/>
    <n v="2"/>
    <n v="205"/>
    <x v="0"/>
    <d v="2025-02-12T00:00:00"/>
    <d v="2025-02-13T00:00:00"/>
    <n v="4564"/>
  </r>
  <r>
    <x v="3"/>
    <n v="7"/>
    <x v="0"/>
    <x v="8"/>
    <x v="1"/>
    <n v="1802"/>
    <d v="2024-11-23T00:00:00"/>
    <d v="2027-11-23T00:00:00"/>
    <n v="230"/>
    <n v="68"/>
    <n v="162"/>
    <x v="1"/>
    <d v="2024-11-30T00:00:00"/>
    <d v="2024-12-03T00:00:00"/>
    <n v="122536"/>
  </r>
  <r>
    <x v="3"/>
    <n v="8"/>
    <x v="2"/>
    <x v="6"/>
    <x v="1"/>
    <n v="2376"/>
    <d v="2024-12-29T00:00:00"/>
    <d v="2027-12-29T00:00:00"/>
    <n v="257"/>
    <n v="108"/>
    <n v="149"/>
    <x v="2"/>
    <d v="2025-02-10T00:00:00"/>
    <d v="2025-02-17T00:00:00"/>
    <n v="256608"/>
  </r>
  <r>
    <x v="3"/>
    <n v="9"/>
    <x v="0"/>
    <x v="6"/>
    <x v="5"/>
    <n v="4002"/>
    <d v="2024-06-02T00:00:00"/>
    <d v="2027-06-02T00:00:00"/>
    <n v="211"/>
    <n v="8"/>
    <n v="203"/>
    <x v="2"/>
    <d v="2025-01-19T00:00:00"/>
    <d v="2025-02-17T00:00:00"/>
    <n v="32016"/>
  </r>
  <r>
    <x v="3"/>
    <n v="10"/>
    <x v="3"/>
    <x v="3"/>
    <x v="4"/>
    <n v="3837"/>
    <d v="2024-04-03T00:00:00"/>
    <d v="2027-04-03T00:00:00"/>
    <n v="230"/>
    <n v="123"/>
    <n v="107"/>
    <x v="0"/>
    <d v="2024-10-24T00:00:00"/>
    <d v="2025-01-07T00:00:00"/>
    <n v="471951"/>
  </r>
  <r>
    <x v="3"/>
    <n v="11"/>
    <x v="2"/>
    <x v="4"/>
    <x v="4"/>
    <n v="1840"/>
    <d v="2024-10-07T00:00:00"/>
    <d v="2027-10-07T00:00:00"/>
    <n v="50"/>
    <n v="50"/>
    <n v="0"/>
    <x v="2"/>
    <d v="2024-10-08T00:00:00"/>
    <d v="2024-11-22T00:00:00"/>
    <n v="92000"/>
  </r>
  <r>
    <x v="3"/>
    <n v="12"/>
    <x v="3"/>
    <x v="4"/>
    <x v="2"/>
    <n v="2578"/>
    <d v="2024-11-21T00:00:00"/>
    <d v="2027-11-21T00:00:00"/>
    <n v="107"/>
    <n v="29"/>
    <n v="78"/>
    <x v="3"/>
    <d v="2025-02-11T00:00:00"/>
    <d v="2025-02-12T00:00:00"/>
    <n v="74762"/>
  </r>
  <r>
    <x v="3"/>
    <n v="13"/>
    <x v="8"/>
    <x v="6"/>
    <x v="0"/>
    <n v="2468"/>
    <d v="2024-12-14T00:00:00"/>
    <d v="2027-12-14T00:00:00"/>
    <n v="213"/>
    <n v="140"/>
    <n v="73"/>
    <x v="0"/>
    <d v="2025-02-17T00:00:00"/>
    <d v="2025-02-19T00:00:00"/>
    <n v="345520"/>
  </r>
  <r>
    <x v="3"/>
    <n v="14"/>
    <x v="8"/>
    <x v="9"/>
    <x v="3"/>
    <n v="4559"/>
    <d v="2024-07-04T00:00:00"/>
    <d v="2027-07-04T00:00:00"/>
    <n v="159"/>
    <n v="150"/>
    <n v="9"/>
    <x v="1"/>
    <d v="2024-10-26T00:00:00"/>
    <d v="2025-02-01T00:00:00"/>
    <n v="683850"/>
  </r>
  <r>
    <x v="3"/>
    <n v="15"/>
    <x v="0"/>
    <x v="3"/>
    <x v="4"/>
    <n v="3480"/>
    <d v="2024-08-02T00:00:00"/>
    <d v="2027-08-02T00:00:00"/>
    <n v="285"/>
    <n v="110"/>
    <n v="175"/>
    <x v="1"/>
    <d v="2024-12-05T00:00:00"/>
    <d v="2025-01-13T00:00:00"/>
    <n v="382800"/>
  </r>
  <r>
    <x v="3"/>
    <n v="16"/>
    <x v="5"/>
    <x v="3"/>
    <x v="5"/>
    <n v="1531"/>
    <d v="2024-09-04T00:00:00"/>
    <d v="2027-09-04T00:00:00"/>
    <n v="278"/>
    <n v="97"/>
    <n v="181"/>
    <x v="0"/>
    <d v="2024-12-13T00:00:00"/>
    <d v="2025-02-02T00:00:00"/>
    <n v="148507"/>
  </r>
  <r>
    <x v="3"/>
    <n v="17"/>
    <x v="0"/>
    <x v="9"/>
    <x v="4"/>
    <n v="1868"/>
    <d v="2025-01-10T00:00:00"/>
    <d v="2028-01-10T00:00:00"/>
    <n v="225"/>
    <n v="118"/>
    <n v="107"/>
    <x v="3"/>
    <d v="2025-01-10T00:00:00"/>
    <d v="2025-02-07T00:00:00"/>
    <n v="220424"/>
  </r>
  <r>
    <x v="3"/>
    <n v="18"/>
    <x v="8"/>
    <x v="3"/>
    <x v="4"/>
    <n v="4894"/>
    <d v="2024-11-30T00:00:00"/>
    <d v="2027-11-30T00:00:00"/>
    <n v="268"/>
    <n v="24"/>
    <n v="244"/>
    <x v="3"/>
    <d v="2024-12-27T00:00:00"/>
    <d v="2025-01-19T00:00:00"/>
    <n v="117456"/>
  </r>
  <r>
    <x v="3"/>
    <n v="19"/>
    <x v="9"/>
    <x v="3"/>
    <x v="1"/>
    <n v="3856"/>
    <d v="2024-07-12T00:00:00"/>
    <d v="2027-07-12T00:00:00"/>
    <n v="90"/>
    <n v="14"/>
    <n v="76"/>
    <x v="2"/>
    <d v="2024-11-03T00:00:00"/>
    <d v="2024-11-18T00:00:00"/>
    <n v="53984"/>
  </r>
  <r>
    <x v="3"/>
    <n v="20"/>
    <x v="5"/>
    <x v="6"/>
    <x v="4"/>
    <n v="4695"/>
    <d v="2025-01-30T00:00:00"/>
    <d v="2028-01-30T00:00:00"/>
    <n v="129"/>
    <n v="50"/>
    <n v="79"/>
    <x v="4"/>
    <d v="2025-02-15T00:00:00"/>
    <d v="2025-02-16T00:00:00"/>
    <n v="234750"/>
  </r>
  <r>
    <x v="3"/>
    <n v="21"/>
    <x v="6"/>
    <x v="1"/>
    <x v="2"/>
    <n v="3634"/>
    <d v="2024-10-10T00:00:00"/>
    <d v="2027-10-10T00:00:00"/>
    <n v="153"/>
    <n v="141"/>
    <n v="12"/>
    <x v="4"/>
    <d v="2024-12-25T00:00:00"/>
    <d v="2025-02-15T00:00:00"/>
    <n v="512394"/>
  </r>
  <r>
    <x v="3"/>
    <n v="22"/>
    <x v="7"/>
    <x v="6"/>
    <x v="4"/>
    <n v="967"/>
    <d v="2024-07-14T00:00:00"/>
    <d v="2027-07-14T00:00:00"/>
    <n v="250"/>
    <n v="205"/>
    <n v="45"/>
    <x v="3"/>
    <d v="2024-12-31T00:00:00"/>
    <d v="2025-02-06T00:00:00"/>
    <n v="198235"/>
  </r>
  <r>
    <x v="3"/>
    <n v="23"/>
    <x v="5"/>
    <x v="1"/>
    <x v="5"/>
    <n v="4150"/>
    <d v="2024-04-25T00:00:00"/>
    <d v="2027-04-25T00:00:00"/>
    <n v="223"/>
    <n v="223"/>
    <n v="0"/>
    <x v="2"/>
    <d v="2024-06-29T00:00:00"/>
    <d v="2025-01-12T00:00:00"/>
    <n v="925450"/>
  </r>
  <r>
    <x v="3"/>
    <n v="24"/>
    <x v="1"/>
    <x v="2"/>
    <x v="5"/>
    <n v="1985"/>
    <d v="2024-04-30T00:00:00"/>
    <d v="2027-04-30T00:00:00"/>
    <n v="157"/>
    <n v="18"/>
    <n v="139"/>
    <x v="1"/>
    <d v="2024-05-11T00:00:00"/>
    <d v="2024-12-08T00:00:00"/>
    <n v="35730"/>
  </r>
  <r>
    <x v="3"/>
    <n v="25"/>
    <x v="9"/>
    <x v="2"/>
    <x v="5"/>
    <n v="1134"/>
    <d v="2024-11-20T00:00:00"/>
    <d v="2027-11-20T00:00:00"/>
    <n v="170"/>
    <n v="50"/>
    <n v="120"/>
    <x v="3"/>
    <d v="2025-02-14T00:00:00"/>
    <d v="2025-02-19T00:00:00"/>
    <n v="56700"/>
  </r>
  <r>
    <x v="3"/>
    <n v="26"/>
    <x v="6"/>
    <x v="3"/>
    <x v="5"/>
    <n v="3551"/>
    <d v="2024-06-05T00:00:00"/>
    <d v="2027-06-05T00:00:00"/>
    <n v="267"/>
    <n v="203"/>
    <n v="64"/>
    <x v="4"/>
    <d v="2024-07-10T00:00:00"/>
    <d v="2024-09-12T00:00:00"/>
    <n v="720853"/>
  </r>
  <r>
    <x v="3"/>
    <n v="27"/>
    <x v="0"/>
    <x v="9"/>
    <x v="1"/>
    <n v="2887"/>
    <d v="2024-12-10T00:00:00"/>
    <d v="2027-12-10T00:00:00"/>
    <n v="88"/>
    <n v="40"/>
    <n v="48"/>
    <x v="4"/>
    <d v="2025-01-27T00:00:00"/>
    <d v="2025-02-02T00:00:00"/>
    <n v="115480"/>
  </r>
  <r>
    <x v="3"/>
    <n v="28"/>
    <x v="0"/>
    <x v="9"/>
    <x v="5"/>
    <n v="2359"/>
    <d v="2024-09-14T00:00:00"/>
    <d v="2027-09-14T00:00:00"/>
    <n v="117"/>
    <n v="108"/>
    <n v="9"/>
    <x v="1"/>
    <d v="2024-12-19T00:00:00"/>
    <d v="2025-02-07T00:00:00"/>
    <n v="254772"/>
  </r>
  <r>
    <x v="3"/>
    <n v="29"/>
    <x v="6"/>
    <x v="5"/>
    <x v="2"/>
    <n v="3750"/>
    <d v="2024-11-22T00:00:00"/>
    <d v="2027-11-22T00:00:00"/>
    <n v="84"/>
    <n v="70"/>
    <n v="14"/>
    <x v="1"/>
    <d v="2024-12-31T00:00:00"/>
    <d v="2025-01-28T00:00:00"/>
    <n v="262500"/>
  </r>
  <r>
    <x v="3"/>
    <n v="30"/>
    <x v="7"/>
    <x v="3"/>
    <x v="0"/>
    <n v="1682"/>
    <d v="2024-10-08T00:00:00"/>
    <d v="2027-10-08T00:00:00"/>
    <n v="279"/>
    <n v="112"/>
    <n v="167"/>
    <x v="0"/>
    <d v="2025-01-28T00:00:00"/>
    <d v="2025-02-09T00:00:00"/>
    <n v="188384"/>
  </r>
  <r>
    <x v="3"/>
    <n v="31"/>
    <x v="4"/>
    <x v="2"/>
    <x v="4"/>
    <n v="1096"/>
    <d v="2024-12-27T00:00:00"/>
    <d v="2027-12-27T00:00:00"/>
    <n v="86"/>
    <n v="19"/>
    <n v="67"/>
    <x v="2"/>
    <d v="2025-01-16T00:00:00"/>
    <d v="2025-02-14T00:00:00"/>
    <n v="20824"/>
  </r>
  <r>
    <x v="3"/>
    <n v="32"/>
    <x v="7"/>
    <x v="8"/>
    <x v="2"/>
    <n v="1105"/>
    <d v="2024-12-17T00:00:00"/>
    <d v="2027-12-17T00:00:00"/>
    <n v="246"/>
    <n v="122"/>
    <n v="124"/>
    <x v="0"/>
    <d v="2025-02-11T00:00:00"/>
    <d v="2025-02-12T00:00:00"/>
    <n v="134810"/>
  </r>
  <r>
    <x v="3"/>
    <n v="33"/>
    <x v="0"/>
    <x v="4"/>
    <x v="0"/>
    <n v="3336"/>
    <d v="2024-12-07T00:00:00"/>
    <d v="2027-12-07T00:00:00"/>
    <n v="95"/>
    <n v="91"/>
    <n v="4"/>
    <x v="1"/>
    <d v="2025-01-04T00:00:00"/>
    <d v="2025-01-21T00:00:00"/>
    <n v="303576"/>
  </r>
  <r>
    <x v="3"/>
    <n v="34"/>
    <x v="8"/>
    <x v="0"/>
    <x v="4"/>
    <n v="1545"/>
    <d v="2024-05-15T00:00:00"/>
    <d v="2027-05-15T00:00:00"/>
    <n v="257"/>
    <n v="18"/>
    <n v="239"/>
    <x v="1"/>
    <d v="2024-05-28T00:00:00"/>
    <d v="2024-06-29T00:00:00"/>
    <n v="278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n v="1"/>
    <x v="0"/>
    <x v="0"/>
    <x v="0"/>
    <n v="1929"/>
    <d v="2025-01-10T00:00:00"/>
    <d v="2028-01-10T00:00:00"/>
    <n v="454"/>
    <n v="262"/>
    <n v="192"/>
    <x v="0"/>
    <d v="2025-01-27T00:00:00"/>
    <d v="2025-02-01T00:00:00"/>
    <n v="505398"/>
  </r>
  <r>
    <x v="0"/>
    <n v="2"/>
    <x v="1"/>
    <x v="1"/>
    <x v="1"/>
    <n v="1748"/>
    <d v="2024-10-09T00:00:00"/>
    <d v="2027-10-09T00:00:00"/>
    <n v="136"/>
    <n v="62"/>
    <n v="74"/>
    <x v="0"/>
    <d v="2024-12-16T00:00:00"/>
    <d v="2025-02-10T00:00:00"/>
    <n v="108376"/>
  </r>
  <r>
    <x v="0"/>
    <n v="3"/>
    <x v="2"/>
    <x v="2"/>
    <x v="2"/>
    <n v="1543"/>
    <d v="2024-08-05T00:00:00"/>
    <d v="2027-08-05T00:00:00"/>
    <n v="215"/>
    <n v="64"/>
    <n v="151"/>
    <x v="1"/>
    <d v="2025-02-12T00:00:00"/>
    <d v="2025-02-17T00:00:00"/>
    <n v="98752"/>
  </r>
  <r>
    <x v="0"/>
    <n v="4"/>
    <x v="3"/>
    <x v="1"/>
    <x v="3"/>
    <n v="3716"/>
    <d v="2024-11-10T00:00:00"/>
    <d v="2027-11-10T00:00:00"/>
    <n v="176"/>
    <n v="163"/>
    <n v="13"/>
    <x v="1"/>
    <d v="2024-12-26T00:00:00"/>
    <d v="2025-02-12T00:00:00"/>
    <n v="605708"/>
  </r>
  <r>
    <x v="0"/>
    <n v="5"/>
    <x v="4"/>
    <x v="1"/>
    <x v="4"/>
    <n v="3923"/>
    <d v="2024-03-27T00:00:00"/>
    <d v="2027-03-27T00:00:00"/>
    <n v="61"/>
    <n v="8"/>
    <n v="53"/>
    <x v="1"/>
    <d v="2024-09-14T00:00:00"/>
    <d v="2025-02-11T00:00:00"/>
    <n v="31384"/>
  </r>
  <r>
    <x v="0"/>
    <n v="6"/>
    <x v="5"/>
    <x v="3"/>
    <x v="0"/>
    <n v="2663"/>
    <d v="2024-04-03T00:00:00"/>
    <d v="2027-04-03T00:00:00"/>
    <n v="60"/>
    <n v="41"/>
    <n v="19"/>
    <x v="2"/>
    <d v="2024-07-11T00:00:00"/>
    <d v="2025-01-23T00:00:00"/>
    <n v="109183"/>
  </r>
  <r>
    <x v="0"/>
    <n v="7"/>
    <x v="0"/>
    <x v="4"/>
    <x v="0"/>
    <n v="679"/>
    <d v="2024-08-30T00:00:00"/>
    <d v="2027-08-30T00:00:00"/>
    <n v="268"/>
    <n v="238"/>
    <n v="30"/>
    <x v="2"/>
    <d v="2024-09-10T00:00:00"/>
    <d v="2024-12-30T00:00:00"/>
    <n v="161602"/>
  </r>
  <r>
    <x v="0"/>
    <n v="8"/>
    <x v="0"/>
    <x v="1"/>
    <x v="4"/>
    <n v="3526"/>
    <d v="2024-09-29T00:00:00"/>
    <d v="2027-09-29T00:00:00"/>
    <n v="183"/>
    <n v="31"/>
    <n v="152"/>
    <x v="0"/>
    <d v="2024-11-11T00:00:00"/>
    <d v="2024-12-18T00:00:00"/>
    <n v="109306"/>
  </r>
  <r>
    <x v="0"/>
    <n v="9"/>
    <x v="0"/>
    <x v="5"/>
    <x v="4"/>
    <n v="3265"/>
    <d v="2024-07-30T00:00:00"/>
    <d v="2027-07-30T00:00:00"/>
    <n v="72"/>
    <n v="37"/>
    <n v="35"/>
    <x v="3"/>
    <d v="2024-12-27T00:00:00"/>
    <d v="2025-01-22T00:00:00"/>
    <n v="120805"/>
  </r>
  <r>
    <x v="0"/>
    <n v="10"/>
    <x v="4"/>
    <x v="6"/>
    <x v="2"/>
    <n v="3325"/>
    <d v="2025-02-06T00:00:00"/>
    <d v="2028-02-06T00:00:00"/>
    <n v="103"/>
    <n v="36"/>
    <n v="67"/>
    <x v="3"/>
    <d v="2025-02-14T00:00:00"/>
    <d v="2025-02-19T00:00:00"/>
    <n v="119700"/>
  </r>
  <r>
    <x v="0"/>
    <n v="11"/>
    <x v="1"/>
    <x v="7"/>
    <x v="5"/>
    <n v="3017"/>
    <d v="2024-10-26T00:00:00"/>
    <d v="2027-10-26T00:00:00"/>
    <n v="249"/>
    <n v="92"/>
    <n v="157"/>
    <x v="3"/>
    <d v="2024-11-08T00:00:00"/>
    <d v="2024-11-24T00:00:00"/>
    <n v="277564"/>
  </r>
  <r>
    <x v="0"/>
    <n v="12"/>
    <x v="6"/>
    <x v="1"/>
    <x v="4"/>
    <n v="3067"/>
    <d v="2025-01-10T00:00:00"/>
    <d v="2028-01-10T00:00:00"/>
    <n v="74"/>
    <n v="28"/>
    <n v="46"/>
    <x v="4"/>
    <d v="2025-02-09T00:00:00"/>
    <d v="2025-02-15T00:00:00"/>
    <n v="85876"/>
  </r>
  <r>
    <x v="0"/>
    <n v="13"/>
    <x v="5"/>
    <x v="4"/>
    <x v="3"/>
    <n v="924"/>
    <d v="2024-09-10T00:00:00"/>
    <d v="2027-09-10T00:00:00"/>
    <n v="125"/>
    <n v="39"/>
    <n v="86"/>
    <x v="1"/>
    <d v="2024-10-19T00:00:00"/>
    <d v="2024-11-09T00:00:00"/>
    <n v="36036"/>
  </r>
  <r>
    <x v="0"/>
    <n v="14"/>
    <x v="4"/>
    <x v="5"/>
    <x v="2"/>
    <n v="3335"/>
    <d v="2024-05-27T00:00:00"/>
    <d v="2027-05-27T00:00:00"/>
    <n v="231"/>
    <n v="151"/>
    <n v="80"/>
    <x v="2"/>
    <d v="2024-10-25T00:00:00"/>
    <d v="2024-10-31T00:00:00"/>
    <n v="503585"/>
  </r>
  <r>
    <x v="0"/>
    <n v="15"/>
    <x v="7"/>
    <x v="6"/>
    <x v="3"/>
    <n v="4002"/>
    <d v="2024-08-15T00:00:00"/>
    <d v="2027-08-15T00:00:00"/>
    <n v="54"/>
    <n v="26"/>
    <n v="28"/>
    <x v="3"/>
    <d v="2024-10-17T00:00:00"/>
    <d v="2024-12-20T00:00:00"/>
    <n v="104052"/>
  </r>
  <r>
    <x v="0"/>
    <n v="16"/>
    <x v="5"/>
    <x v="8"/>
    <x v="5"/>
    <n v="697"/>
    <d v="2024-11-04T00:00:00"/>
    <d v="2027-11-04T00:00:00"/>
    <n v="133"/>
    <n v="114"/>
    <n v="19"/>
    <x v="0"/>
    <d v="2025-02-13T00:00:00"/>
    <d v="2025-02-19T00:00:00"/>
    <n v="79458"/>
  </r>
  <r>
    <x v="0"/>
    <n v="17"/>
    <x v="4"/>
    <x v="1"/>
    <x v="4"/>
    <n v="720"/>
    <d v="2024-09-25T00:00:00"/>
    <d v="2027-09-25T00:00:00"/>
    <n v="193"/>
    <n v="39"/>
    <n v="154"/>
    <x v="3"/>
    <d v="2025-01-03T00:00:00"/>
    <d v="2025-01-07T00:00:00"/>
    <n v="28080"/>
  </r>
  <r>
    <x v="0"/>
    <n v="18"/>
    <x v="4"/>
    <x v="5"/>
    <x v="4"/>
    <n v="3222"/>
    <d v="2024-02-17T00:00:00"/>
    <d v="2027-02-16T00:00:00"/>
    <n v="76"/>
    <n v="8"/>
    <n v="68"/>
    <x v="3"/>
    <d v="2024-07-25T00:00:00"/>
    <d v="2024-08-16T00:00:00"/>
    <n v="25776"/>
  </r>
  <r>
    <x v="0"/>
    <n v="19"/>
    <x v="0"/>
    <x v="3"/>
    <x v="5"/>
    <n v="1314"/>
    <d v="2024-07-12T00:00:00"/>
    <d v="2027-07-12T00:00:00"/>
    <n v="239"/>
    <n v="175"/>
    <n v="64"/>
    <x v="1"/>
    <d v="2025-02-09T00:00:00"/>
    <d v="2025-02-17T00:00:00"/>
    <n v="229950"/>
  </r>
  <r>
    <x v="0"/>
    <n v="20"/>
    <x v="1"/>
    <x v="2"/>
    <x v="2"/>
    <n v="4540"/>
    <d v="2024-02-25T00:00:00"/>
    <d v="2027-02-24T00:00:00"/>
    <n v="127"/>
    <n v="21"/>
    <n v="106"/>
    <x v="2"/>
    <d v="2024-06-04T00:00:00"/>
    <d v="2024-06-21T00:00:00"/>
    <n v="95340"/>
  </r>
  <r>
    <x v="0"/>
    <n v="21"/>
    <x v="2"/>
    <x v="2"/>
    <x v="1"/>
    <n v="2280"/>
    <d v="2024-09-06T00:00:00"/>
    <d v="2027-09-06T00:00:00"/>
    <n v="206"/>
    <n v="36"/>
    <n v="170"/>
    <x v="0"/>
    <d v="2024-10-05T00:00:00"/>
    <d v="2024-10-31T00:00:00"/>
    <n v="82080"/>
  </r>
  <r>
    <x v="0"/>
    <n v="22"/>
    <x v="7"/>
    <x v="2"/>
    <x v="1"/>
    <n v="4833"/>
    <d v="2024-05-24T00:00:00"/>
    <d v="2027-05-24T00:00:00"/>
    <n v="293"/>
    <n v="82"/>
    <n v="211"/>
    <x v="4"/>
    <d v="2024-09-08T00:00:00"/>
    <d v="2025-01-10T00:00:00"/>
    <n v="396306"/>
  </r>
  <r>
    <x v="0"/>
    <n v="23"/>
    <x v="8"/>
    <x v="8"/>
    <x v="4"/>
    <n v="2650"/>
    <d v="2024-04-23T00:00:00"/>
    <d v="2027-04-23T00:00:00"/>
    <n v="145"/>
    <n v="122"/>
    <n v="23"/>
    <x v="4"/>
    <d v="2024-09-06T00:00:00"/>
    <d v="2025-01-21T00:00:00"/>
    <n v="323300"/>
  </r>
  <r>
    <x v="0"/>
    <n v="24"/>
    <x v="9"/>
    <x v="8"/>
    <x v="2"/>
    <n v="3403"/>
    <d v="2024-09-18T00:00:00"/>
    <d v="2027-09-18T00:00:00"/>
    <n v="82"/>
    <n v="14"/>
    <n v="68"/>
    <x v="0"/>
    <d v="2024-12-14T00:00:00"/>
    <d v="2025-02-13T00:00:00"/>
    <n v="47642"/>
  </r>
  <r>
    <x v="0"/>
    <n v="25"/>
    <x v="9"/>
    <x v="2"/>
    <x v="2"/>
    <n v="1206"/>
    <d v="2024-09-22T00:00:00"/>
    <d v="2027-09-22T00:00:00"/>
    <n v="1000"/>
    <n v="900"/>
    <n v="100"/>
    <x v="1"/>
    <d v="2025-01-20T00:00:00"/>
    <d v="2025-01-24T00:00:00"/>
    <n v="1085400"/>
  </r>
  <r>
    <x v="0"/>
    <n v="26"/>
    <x v="4"/>
    <x v="5"/>
    <x v="4"/>
    <n v="1218"/>
    <d v="2024-07-27T00:00:00"/>
    <d v="2027-07-27T00:00:00"/>
    <n v="129"/>
    <n v="46"/>
    <n v="83"/>
    <x v="3"/>
    <d v="2025-01-13T00:00:00"/>
    <d v="2025-01-23T00:00:00"/>
    <n v="56028"/>
  </r>
  <r>
    <x v="0"/>
    <n v="27"/>
    <x v="8"/>
    <x v="5"/>
    <x v="5"/>
    <n v="2975"/>
    <d v="2024-06-01T00:00:00"/>
    <d v="2027-06-01T00:00:00"/>
    <n v="53"/>
    <n v="53"/>
    <n v="0"/>
    <x v="1"/>
    <d v="2024-09-30T00:00:00"/>
    <d v="2025-02-16T00:00:00"/>
    <n v="157675"/>
  </r>
  <r>
    <x v="0"/>
    <n v="28"/>
    <x v="8"/>
    <x v="2"/>
    <x v="0"/>
    <n v="4781"/>
    <d v="2024-10-05T00:00:00"/>
    <d v="2027-10-05T00:00:00"/>
    <n v="299"/>
    <n v="179"/>
    <n v="120"/>
    <x v="2"/>
    <d v="2024-10-09T00:00:00"/>
    <d v="2025-02-18T00:00:00"/>
    <n v="855799"/>
  </r>
  <r>
    <x v="0"/>
    <n v="29"/>
    <x v="2"/>
    <x v="5"/>
    <x v="0"/>
    <n v="2990"/>
    <d v="2024-11-19T00:00:00"/>
    <d v="2027-11-19T00:00:00"/>
    <n v="138"/>
    <n v="40"/>
    <n v="98"/>
    <x v="0"/>
    <d v="2025-01-03T00:00:00"/>
    <d v="2025-01-23T00:00:00"/>
    <n v="119600"/>
  </r>
  <r>
    <x v="0"/>
    <n v="30"/>
    <x v="4"/>
    <x v="2"/>
    <x v="5"/>
    <n v="4348"/>
    <d v="2024-09-20T00:00:00"/>
    <d v="2027-09-20T00:00:00"/>
    <n v="83"/>
    <n v="52"/>
    <n v="31"/>
    <x v="3"/>
    <d v="2024-11-11T00:00:00"/>
    <d v="2024-11-12T00:00:00"/>
    <n v="226096"/>
  </r>
  <r>
    <x v="0"/>
    <n v="31"/>
    <x v="1"/>
    <x v="3"/>
    <x v="4"/>
    <n v="1121"/>
    <d v="2024-06-16T00:00:00"/>
    <d v="2027-06-16T00:00:00"/>
    <n v="150"/>
    <n v="57"/>
    <n v="93"/>
    <x v="0"/>
    <d v="2025-01-02T00:00:00"/>
    <d v="2025-02-16T00:00:00"/>
    <n v="63897"/>
  </r>
  <r>
    <x v="0"/>
    <n v="32"/>
    <x v="4"/>
    <x v="8"/>
    <x v="2"/>
    <n v="4357"/>
    <d v="2025-02-08T00:00:00"/>
    <d v="2028-02-08T00:00:00"/>
    <n v="237"/>
    <n v="223"/>
    <n v="14"/>
    <x v="2"/>
    <d v="2025-02-09T00:00:00"/>
    <d v="2025-02-17T00:00:00"/>
    <n v="971611"/>
  </r>
  <r>
    <x v="0"/>
    <n v="33"/>
    <x v="8"/>
    <x v="1"/>
    <x v="3"/>
    <n v="2524"/>
    <d v="2024-11-17T00:00:00"/>
    <d v="2027-11-17T00:00:00"/>
    <n v="264"/>
    <n v="43"/>
    <n v="221"/>
    <x v="2"/>
    <d v="2024-12-30T00:00:00"/>
    <d v="2025-01-05T00:00:00"/>
    <n v="108532"/>
  </r>
  <r>
    <x v="0"/>
    <n v="34"/>
    <x v="3"/>
    <x v="9"/>
    <x v="0"/>
    <n v="1051"/>
    <d v="2024-03-25T00:00:00"/>
    <d v="2027-03-25T00:00:00"/>
    <n v="159"/>
    <n v="56"/>
    <n v="103"/>
    <x v="4"/>
    <d v="2024-11-29T00:00:00"/>
    <d v="2025-02-07T00:00:00"/>
    <n v="58856"/>
  </r>
  <r>
    <x v="1"/>
    <n v="1"/>
    <x v="5"/>
    <x v="9"/>
    <x v="4"/>
    <n v="3097"/>
    <d v="2024-04-03T00:00:00"/>
    <d v="2027-04-03T00:00:00"/>
    <n v="398"/>
    <n v="302"/>
    <n v="96"/>
    <x v="3"/>
    <d v="2024-06-25T00:00:00"/>
    <d v="2024-10-03T00:00:00"/>
    <n v="935294"/>
  </r>
  <r>
    <x v="1"/>
    <n v="2"/>
    <x v="0"/>
    <x v="5"/>
    <x v="0"/>
    <n v="2587"/>
    <d v="2024-09-06T00:00:00"/>
    <d v="2027-09-06T00:00:00"/>
    <n v="252"/>
    <n v="11"/>
    <n v="241"/>
    <x v="3"/>
    <d v="2025-01-04T00:00:00"/>
    <d v="2025-01-04T00:00:00"/>
    <n v="28457"/>
  </r>
  <r>
    <x v="1"/>
    <n v="3"/>
    <x v="1"/>
    <x v="8"/>
    <x v="0"/>
    <n v="2988"/>
    <d v="2024-09-15T00:00:00"/>
    <d v="2027-09-15T00:00:00"/>
    <n v="246"/>
    <n v="16"/>
    <n v="230"/>
    <x v="3"/>
    <d v="2024-12-07T00:00:00"/>
    <d v="2025-01-20T00:00:00"/>
    <n v="47808"/>
  </r>
  <r>
    <x v="1"/>
    <n v="4"/>
    <x v="2"/>
    <x v="9"/>
    <x v="0"/>
    <n v="898"/>
    <d v="2024-11-17T00:00:00"/>
    <d v="2027-11-17T00:00:00"/>
    <n v="269"/>
    <n v="90"/>
    <n v="179"/>
    <x v="4"/>
    <d v="2025-02-08T00:00:00"/>
    <d v="2025-02-08T00:00:00"/>
    <n v="80820"/>
  </r>
  <r>
    <x v="1"/>
    <n v="5"/>
    <x v="2"/>
    <x v="8"/>
    <x v="4"/>
    <n v="1378"/>
    <d v="2024-04-11T00:00:00"/>
    <d v="2027-04-11T00:00:00"/>
    <n v="124"/>
    <n v="28"/>
    <n v="96"/>
    <x v="0"/>
    <d v="2024-08-10T00:00:00"/>
    <d v="2025-01-23T00:00:00"/>
    <n v="38584"/>
  </r>
  <r>
    <x v="1"/>
    <n v="6"/>
    <x v="7"/>
    <x v="6"/>
    <x v="1"/>
    <n v="4456"/>
    <d v="2024-06-25T00:00:00"/>
    <d v="2027-06-25T00:00:00"/>
    <n v="136"/>
    <n v="86"/>
    <n v="50"/>
    <x v="1"/>
    <d v="2025-02-04T00:00:00"/>
    <d v="2025-02-14T00:00:00"/>
    <n v="383216"/>
  </r>
  <r>
    <x v="1"/>
    <n v="7"/>
    <x v="5"/>
    <x v="8"/>
    <x v="1"/>
    <n v="2925"/>
    <d v="2024-03-17T00:00:00"/>
    <d v="2027-03-17T00:00:00"/>
    <n v="128"/>
    <n v="126"/>
    <n v="2"/>
    <x v="0"/>
    <d v="2025-02-10T00:00:00"/>
    <d v="2025-02-12T00:00:00"/>
    <n v="368550"/>
  </r>
  <r>
    <x v="1"/>
    <n v="8"/>
    <x v="7"/>
    <x v="0"/>
    <x v="0"/>
    <n v="4912"/>
    <d v="2024-11-04T00:00:00"/>
    <d v="2027-11-04T00:00:00"/>
    <n v="126"/>
    <n v="27"/>
    <n v="99"/>
    <x v="3"/>
    <d v="2024-11-13T00:00:00"/>
    <d v="2025-01-01T00:00:00"/>
    <n v="132624"/>
  </r>
  <r>
    <x v="1"/>
    <n v="9"/>
    <x v="0"/>
    <x v="9"/>
    <x v="4"/>
    <n v="2032"/>
    <d v="2024-07-17T00:00:00"/>
    <d v="2027-07-17T00:00:00"/>
    <n v="89"/>
    <n v="49"/>
    <n v="40"/>
    <x v="4"/>
    <d v="2024-10-29T00:00:00"/>
    <d v="2025-01-08T00:00:00"/>
    <n v="99568"/>
  </r>
  <r>
    <x v="1"/>
    <n v="10"/>
    <x v="5"/>
    <x v="7"/>
    <x v="5"/>
    <n v="3895"/>
    <d v="2024-11-05T00:00:00"/>
    <d v="2027-11-05T00:00:00"/>
    <n v="146"/>
    <n v="33"/>
    <n v="113"/>
    <x v="2"/>
    <d v="2025-02-05T00:00:00"/>
    <d v="2025-02-14T00:00:00"/>
    <n v="128535"/>
  </r>
  <r>
    <x v="1"/>
    <n v="11"/>
    <x v="4"/>
    <x v="9"/>
    <x v="4"/>
    <n v="1305"/>
    <d v="2025-01-08T00:00:00"/>
    <d v="2028-01-08T00:00:00"/>
    <n v="107"/>
    <n v="86"/>
    <n v="21"/>
    <x v="3"/>
    <d v="2025-01-29T00:00:00"/>
    <d v="2025-02-18T00:00:00"/>
    <n v="112230"/>
  </r>
  <r>
    <x v="1"/>
    <n v="12"/>
    <x v="1"/>
    <x v="5"/>
    <x v="0"/>
    <n v="3561"/>
    <d v="2024-12-03T00:00:00"/>
    <d v="2027-12-03T00:00:00"/>
    <n v="158"/>
    <n v="23"/>
    <n v="135"/>
    <x v="1"/>
    <d v="2024-12-07T00:00:00"/>
    <d v="2025-01-09T00:00:00"/>
    <n v="81903"/>
  </r>
  <r>
    <x v="1"/>
    <n v="13"/>
    <x v="5"/>
    <x v="0"/>
    <x v="2"/>
    <n v="981"/>
    <d v="2024-06-05T00:00:00"/>
    <d v="2027-06-05T00:00:00"/>
    <n v="228"/>
    <n v="145"/>
    <n v="83"/>
    <x v="1"/>
    <d v="2024-08-30T00:00:00"/>
    <d v="2024-12-28T00:00:00"/>
    <n v="142245"/>
  </r>
  <r>
    <x v="1"/>
    <n v="14"/>
    <x v="6"/>
    <x v="3"/>
    <x v="4"/>
    <n v="4610"/>
    <d v="2024-11-30T00:00:00"/>
    <d v="2027-11-30T00:00:00"/>
    <n v="154"/>
    <n v="126"/>
    <n v="28"/>
    <x v="1"/>
    <d v="2025-02-12T00:00:00"/>
    <d v="2025-02-18T00:00:00"/>
    <n v="580860"/>
  </r>
  <r>
    <x v="1"/>
    <n v="15"/>
    <x v="4"/>
    <x v="8"/>
    <x v="0"/>
    <n v="4047"/>
    <d v="2024-07-24T00:00:00"/>
    <d v="2027-07-24T00:00:00"/>
    <n v="160"/>
    <n v="82"/>
    <n v="78"/>
    <x v="0"/>
    <d v="2024-08-23T00:00:00"/>
    <d v="2024-10-23T00:00:00"/>
    <n v="331854"/>
  </r>
  <r>
    <x v="1"/>
    <n v="16"/>
    <x v="2"/>
    <x v="5"/>
    <x v="2"/>
    <n v="1776"/>
    <d v="2024-12-31T00:00:00"/>
    <d v="2027-12-31T00:00:00"/>
    <n v="77"/>
    <n v="14"/>
    <n v="63"/>
    <x v="0"/>
    <d v="2025-01-24T00:00:00"/>
    <d v="2025-02-12T00:00:00"/>
    <n v="24864"/>
  </r>
  <r>
    <x v="1"/>
    <n v="17"/>
    <x v="1"/>
    <x v="4"/>
    <x v="2"/>
    <n v="2817"/>
    <d v="2024-10-01T00:00:00"/>
    <d v="2027-10-01T00:00:00"/>
    <n v="263"/>
    <n v="3"/>
    <n v="260"/>
    <x v="4"/>
    <d v="2025-02-16T00:00:00"/>
    <d v="2025-02-19T00:00:00"/>
    <n v="8451"/>
  </r>
  <r>
    <x v="1"/>
    <n v="18"/>
    <x v="0"/>
    <x v="0"/>
    <x v="5"/>
    <n v="1885"/>
    <d v="2024-08-29T00:00:00"/>
    <d v="2027-08-29T00:00:00"/>
    <n v="168"/>
    <n v="167"/>
    <n v="1"/>
    <x v="0"/>
    <d v="2024-09-17T00:00:00"/>
    <d v="2024-10-03T00:00:00"/>
    <n v="314795"/>
  </r>
  <r>
    <x v="1"/>
    <n v="19"/>
    <x v="0"/>
    <x v="8"/>
    <x v="3"/>
    <n v="4063"/>
    <d v="2025-01-30T00:00:00"/>
    <d v="2028-01-30T00:00:00"/>
    <n v="141"/>
    <n v="96"/>
    <n v="45"/>
    <x v="0"/>
    <d v="2025-02-12T00:00:00"/>
    <d v="2025-02-17T00:00:00"/>
    <n v="390048"/>
  </r>
  <r>
    <x v="1"/>
    <n v="20"/>
    <x v="5"/>
    <x v="6"/>
    <x v="4"/>
    <n v="3572"/>
    <d v="2024-02-27T00:00:00"/>
    <d v="2027-02-26T00:00:00"/>
    <n v="97"/>
    <n v="20"/>
    <n v="77"/>
    <x v="2"/>
    <d v="2024-08-18T00:00:00"/>
    <d v="2024-11-29T00:00:00"/>
    <n v="71440"/>
  </r>
  <r>
    <x v="1"/>
    <n v="21"/>
    <x v="1"/>
    <x v="4"/>
    <x v="5"/>
    <n v="672"/>
    <d v="2024-11-13T00:00:00"/>
    <d v="2027-11-13T00:00:00"/>
    <n v="133"/>
    <n v="46"/>
    <n v="87"/>
    <x v="4"/>
    <d v="2024-12-29T00:00:00"/>
    <d v="2025-02-09T00:00:00"/>
    <n v="30912"/>
  </r>
  <r>
    <x v="1"/>
    <n v="22"/>
    <x v="8"/>
    <x v="3"/>
    <x v="5"/>
    <n v="2190"/>
    <d v="2025-01-13T00:00:00"/>
    <d v="2028-01-13T00:00:00"/>
    <n v="149"/>
    <n v="143"/>
    <n v="6"/>
    <x v="1"/>
    <d v="2025-02-13T00:00:00"/>
    <d v="2025-02-19T00:00:00"/>
    <n v="313170"/>
  </r>
  <r>
    <x v="1"/>
    <n v="23"/>
    <x v="4"/>
    <x v="8"/>
    <x v="0"/>
    <n v="998"/>
    <d v="2024-06-28T00:00:00"/>
    <d v="2027-06-28T00:00:00"/>
    <n v="115"/>
    <n v="17"/>
    <n v="98"/>
    <x v="3"/>
    <d v="2024-08-07T00:00:00"/>
    <d v="2025-01-28T00:00:00"/>
    <n v="16966"/>
  </r>
  <r>
    <x v="1"/>
    <n v="24"/>
    <x v="4"/>
    <x v="6"/>
    <x v="0"/>
    <n v="1996"/>
    <d v="2024-09-03T00:00:00"/>
    <d v="2027-09-03T00:00:00"/>
    <n v="58"/>
    <n v="28"/>
    <n v="30"/>
    <x v="2"/>
    <d v="2024-12-03T00:00:00"/>
    <d v="2024-12-03T00:00:00"/>
    <n v="55888"/>
  </r>
  <r>
    <x v="1"/>
    <n v="25"/>
    <x v="1"/>
    <x v="8"/>
    <x v="4"/>
    <n v="4879"/>
    <d v="2024-10-15T00:00:00"/>
    <d v="2027-10-15T00:00:00"/>
    <n v="133"/>
    <n v="131"/>
    <n v="2"/>
    <x v="3"/>
    <d v="2024-11-13T00:00:00"/>
    <d v="2025-01-11T00:00:00"/>
    <n v="639149"/>
  </r>
  <r>
    <x v="1"/>
    <n v="26"/>
    <x v="7"/>
    <x v="0"/>
    <x v="2"/>
    <n v="2681"/>
    <d v="2024-11-02T00:00:00"/>
    <d v="2027-11-02T00:00:00"/>
    <n v="64"/>
    <n v="59"/>
    <n v="5"/>
    <x v="3"/>
    <d v="2025-02-14T00:00:00"/>
    <d v="2025-02-14T00:00:00"/>
    <n v="158179"/>
  </r>
  <r>
    <x v="1"/>
    <n v="27"/>
    <x v="9"/>
    <x v="8"/>
    <x v="5"/>
    <n v="4292"/>
    <d v="2025-01-27T00:00:00"/>
    <d v="2028-01-27T00:00:00"/>
    <n v="139"/>
    <n v="77"/>
    <n v="62"/>
    <x v="3"/>
    <d v="2025-02-02T00:00:00"/>
    <d v="2025-02-17T00:00:00"/>
    <n v="330484"/>
  </r>
  <r>
    <x v="1"/>
    <n v="28"/>
    <x v="0"/>
    <x v="2"/>
    <x v="1"/>
    <n v="1986"/>
    <d v="2024-06-01T00:00:00"/>
    <d v="2027-06-01T00:00:00"/>
    <n v="160"/>
    <n v="93"/>
    <n v="67"/>
    <x v="0"/>
    <d v="2024-08-18T00:00:00"/>
    <d v="2024-09-26T00:00:00"/>
    <n v="184698"/>
  </r>
  <r>
    <x v="1"/>
    <n v="29"/>
    <x v="6"/>
    <x v="7"/>
    <x v="1"/>
    <n v="2194"/>
    <d v="2024-03-09T00:00:00"/>
    <d v="2027-03-09T00:00:00"/>
    <n v="256"/>
    <n v="244"/>
    <n v="12"/>
    <x v="0"/>
    <d v="2024-11-13T00:00:00"/>
    <d v="2025-01-02T00:00:00"/>
    <n v="535336"/>
  </r>
  <r>
    <x v="1"/>
    <n v="30"/>
    <x v="0"/>
    <x v="1"/>
    <x v="1"/>
    <n v="3996"/>
    <d v="2024-04-16T00:00:00"/>
    <d v="2027-04-16T00:00:00"/>
    <n v="189"/>
    <n v="102"/>
    <n v="87"/>
    <x v="0"/>
    <d v="2025-02-06T00:00:00"/>
    <d v="2025-02-09T00:00:00"/>
    <n v="407592"/>
  </r>
  <r>
    <x v="1"/>
    <n v="31"/>
    <x v="0"/>
    <x v="1"/>
    <x v="1"/>
    <n v="2555"/>
    <d v="2024-03-11T00:00:00"/>
    <d v="2027-03-11T00:00:00"/>
    <n v="200"/>
    <n v="31"/>
    <n v="169"/>
    <x v="3"/>
    <d v="2025-01-05T00:00:00"/>
    <d v="2025-01-10T00:00:00"/>
    <n v="79205"/>
  </r>
  <r>
    <x v="1"/>
    <n v="32"/>
    <x v="2"/>
    <x v="3"/>
    <x v="0"/>
    <n v="3462"/>
    <d v="2024-04-07T00:00:00"/>
    <d v="2027-04-07T00:00:00"/>
    <n v="233"/>
    <n v="183"/>
    <n v="50"/>
    <x v="4"/>
    <d v="2024-06-14T00:00:00"/>
    <d v="2024-12-27T00:00:00"/>
    <n v="633546"/>
  </r>
  <r>
    <x v="1"/>
    <n v="33"/>
    <x v="1"/>
    <x v="4"/>
    <x v="5"/>
    <n v="1732"/>
    <d v="2024-09-05T00:00:00"/>
    <d v="2027-09-05T00:00:00"/>
    <n v="57"/>
    <n v="47"/>
    <n v="10"/>
    <x v="4"/>
    <d v="2024-10-30T00:00:00"/>
    <d v="2025-01-16T00:00:00"/>
    <n v="81404"/>
  </r>
  <r>
    <x v="1"/>
    <n v="34"/>
    <x v="7"/>
    <x v="5"/>
    <x v="3"/>
    <n v="3913"/>
    <d v="2024-12-18T00:00:00"/>
    <d v="2027-12-18T00:00:00"/>
    <n v="100"/>
    <n v="57"/>
    <n v="43"/>
    <x v="2"/>
    <d v="2024-12-28T00:00:00"/>
    <d v="2025-02-19T00:00:00"/>
    <n v="223041"/>
  </r>
  <r>
    <x v="2"/>
    <n v="1"/>
    <x v="9"/>
    <x v="0"/>
    <x v="1"/>
    <n v="2876"/>
    <d v="2024-07-12T00:00:00"/>
    <d v="2027-07-12T00:00:00"/>
    <n v="163"/>
    <n v="36"/>
    <n v="127"/>
    <x v="0"/>
    <d v="2024-12-01T00:00:00"/>
    <d v="2024-12-18T00:00:00"/>
    <n v="103536"/>
  </r>
  <r>
    <x v="2"/>
    <n v="2"/>
    <x v="9"/>
    <x v="8"/>
    <x v="0"/>
    <n v="4704"/>
    <d v="2024-06-03T00:00:00"/>
    <d v="2027-06-03T00:00:00"/>
    <n v="295"/>
    <n v="30"/>
    <n v="265"/>
    <x v="4"/>
    <d v="2024-10-16T00:00:00"/>
    <d v="2024-11-01T00:00:00"/>
    <n v="141120"/>
  </r>
  <r>
    <x v="2"/>
    <n v="3"/>
    <x v="7"/>
    <x v="6"/>
    <x v="0"/>
    <n v="3661"/>
    <d v="2024-09-13T00:00:00"/>
    <d v="2027-09-13T00:00:00"/>
    <n v="280"/>
    <n v="29"/>
    <n v="251"/>
    <x v="3"/>
    <d v="2024-10-19T00:00:00"/>
    <d v="2024-12-28T00:00:00"/>
    <n v="106169"/>
  </r>
  <r>
    <x v="2"/>
    <n v="4"/>
    <x v="8"/>
    <x v="5"/>
    <x v="1"/>
    <n v="862"/>
    <d v="2024-07-29T00:00:00"/>
    <d v="2027-07-29T00:00:00"/>
    <n v="231"/>
    <n v="207"/>
    <n v="24"/>
    <x v="1"/>
    <d v="2025-01-24T00:00:00"/>
    <d v="2025-02-05T00:00:00"/>
    <n v="178434"/>
  </r>
  <r>
    <x v="2"/>
    <n v="5"/>
    <x v="7"/>
    <x v="1"/>
    <x v="5"/>
    <n v="4773"/>
    <d v="2024-07-26T00:00:00"/>
    <d v="2027-07-26T00:00:00"/>
    <n v="120"/>
    <n v="4"/>
    <n v="116"/>
    <x v="4"/>
    <d v="2024-11-13T00:00:00"/>
    <d v="2025-02-07T00:00:00"/>
    <n v="19092"/>
  </r>
  <r>
    <x v="2"/>
    <n v="6"/>
    <x v="1"/>
    <x v="6"/>
    <x v="5"/>
    <n v="1231"/>
    <d v="2024-09-10T00:00:00"/>
    <d v="2027-09-10T00:00:00"/>
    <n v="282"/>
    <n v="86"/>
    <n v="196"/>
    <x v="3"/>
    <d v="2024-12-28T00:00:00"/>
    <d v="2025-01-27T00:00:00"/>
    <n v="105866"/>
  </r>
  <r>
    <x v="2"/>
    <n v="7"/>
    <x v="8"/>
    <x v="0"/>
    <x v="0"/>
    <n v="2885"/>
    <d v="2024-04-26T00:00:00"/>
    <d v="2027-04-26T00:00:00"/>
    <n v="77"/>
    <n v="49"/>
    <n v="28"/>
    <x v="0"/>
    <d v="2024-05-21T00:00:00"/>
    <d v="2024-09-15T00:00:00"/>
    <n v="141365"/>
  </r>
  <r>
    <x v="2"/>
    <n v="8"/>
    <x v="5"/>
    <x v="2"/>
    <x v="3"/>
    <n v="4358"/>
    <d v="2024-02-18T00:00:00"/>
    <d v="2027-02-17T00:00:00"/>
    <n v="250"/>
    <n v="181"/>
    <n v="69"/>
    <x v="4"/>
    <d v="2024-08-02T00:00:00"/>
    <d v="2024-12-12T00:00:00"/>
    <n v="788798"/>
  </r>
  <r>
    <x v="2"/>
    <n v="9"/>
    <x v="5"/>
    <x v="9"/>
    <x v="0"/>
    <n v="3582"/>
    <d v="2025-01-29T00:00:00"/>
    <d v="2028-01-29T00:00:00"/>
    <n v="247"/>
    <n v="183"/>
    <n v="64"/>
    <x v="4"/>
    <d v="2025-01-30T00:00:00"/>
    <d v="2025-02-10T00:00:00"/>
    <n v="655506"/>
  </r>
  <r>
    <x v="2"/>
    <n v="10"/>
    <x v="2"/>
    <x v="1"/>
    <x v="4"/>
    <n v="3934"/>
    <d v="2024-06-09T00:00:00"/>
    <d v="2027-06-09T00:00:00"/>
    <n v="73"/>
    <n v="13"/>
    <n v="60"/>
    <x v="4"/>
    <d v="2024-07-03T00:00:00"/>
    <d v="2024-09-24T00:00:00"/>
    <n v="51142"/>
  </r>
  <r>
    <x v="2"/>
    <n v="11"/>
    <x v="4"/>
    <x v="6"/>
    <x v="4"/>
    <n v="4537"/>
    <d v="2024-12-30T00:00:00"/>
    <d v="2027-12-30T00:00:00"/>
    <n v="203"/>
    <n v="195"/>
    <n v="8"/>
    <x v="3"/>
    <d v="2025-01-09T00:00:00"/>
    <d v="2025-01-21T00:00:00"/>
    <n v="884715"/>
  </r>
  <r>
    <x v="2"/>
    <n v="12"/>
    <x v="1"/>
    <x v="4"/>
    <x v="3"/>
    <n v="2541"/>
    <d v="2024-07-27T00:00:00"/>
    <d v="2027-07-27T00:00:00"/>
    <n v="50"/>
    <n v="24"/>
    <n v="26"/>
    <x v="4"/>
    <d v="2024-12-11T00:00:00"/>
    <d v="2025-01-26T00:00:00"/>
    <n v="60984"/>
  </r>
  <r>
    <x v="2"/>
    <n v="13"/>
    <x v="4"/>
    <x v="4"/>
    <x v="4"/>
    <n v="2312"/>
    <d v="2024-09-09T00:00:00"/>
    <d v="2027-09-09T00:00:00"/>
    <n v="86"/>
    <n v="77"/>
    <n v="9"/>
    <x v="4"/>
    <d v="2024-10-25T00:00:00"/>
    <d v="2024-11-24T00:00:00"/>
    <n v="178024"/>
  </r>
  <r>
    <x v="2"/>
    <n v="14"/>
    <x v="9"/>
    <x v="1"/>
    <x v="0"/>
    <n v="2743"/>
    <d v="2024-04-08T00:00:00"/>
    <d v="2027-04-08T00:00:00"/>
    <n v="220"/>
    <n v="75"/>
    <n v="145"/>
    <x v="3"/>
    <d v="2024-08-10T00:00:00"/>
    <d v="2024-10-06T00:00:00"/>
    <n v="205725"/>
  </r>
  <r>
    <x v="2"/>
    <n v="15"/>
    <x v="0"/>
    <x v="8"/>
    <x v="3"/>
    <n v="3695"/>
    <d v="2024-06-29T00:00:00"/>
    <d v="2027-06-29T00:00:00"/>
    <n v="67"/>
    <n v="39"/>
    <n v="28"/>
    <x v="1"/>
    <d v="2024-08-06T00:00:00"/>
    <d v="2024-12-07T00:00:00"/>
    <n v="144105"/>
  </r>
  <r>
    <x v="2"/>
    <n v="16"/>
    <x v="5"/>
    <x v="3"/>
    <x v="3"/>
    <n v="4088"/>
    <d v="2024-08-23T00:00:00"/>
    <d v="2027-08-23T00:00:00"/>
    <n v="188"/>
    <n v="5"/>
    <n v="183"/>
    <x v="1"/>
    <d v="2024-11-29T00:00:00"/>
    <d v="2024-12-14T00:00:00"/>
    <n v="20440"/>
  </r>
  <r>
    <x v="2"/>
    <n v="17"/>
    <x v="1"/>
    <x v="7"/>
    <x v="1"/>
    <n v="724"/>
    <d v="2024-10-24T00:00:00"/>
    <d v="2027-10-24T00:00:00"/>
    <n v="167"/>
    <n v="86"/>
    <n v="81"/>
    <x v="2"/>
    <d v="2024-12-25T00:00:00"/>
    <d v="2025-01-12T00:00:00"/>
    <n v="62264"/>
  </r>
  <r>
    <x v="2"/>
    <n v="18"/>
    <x v="3"/>
    <x v="1"/>
    <x v="2"/>
    <n v="4468"/>
    <d v="2024-08-05T00:00:00"/>
    <d v="2027-08-05T00:00:00"/>
    <n v="159"/>
    <n v="85"/>
    <n v="74"/>
    <x v="3"/>
    <d v="2024-12-09T00:00:00"/>
    <d v="2024-12-13T00:00:00"/>
    <n v="379780"/>
  </r>
  <r>
    <x v="2"/>
    <n v="19"/>
    <x v="5"/>
    <x v="3"/>
    <x v="1"/>
    <n v="3976"/>
    <d v="2024-12-16T00:00:00"/>
    <d v="2027-12-16T00:00:00"/>
    <n v="217"/>
    <n v="0"/>
    <n v="217"/>
    <x v="4"/>
    <d v="2025-01-20T00:00:00"/>
    <d v="2025-02-04T00:00:00"/>
    <n v="0"/>
  </r>
  <r>
    <x v="2"/>
    <n v="20"/>
    <x v="2"/>
    <x v="0"/>
    <x v="2"/>
    <n v="4760"/>
    <d v="2024-12-07T00:00:00"/>
    <d v="2027-12-07T00:00:00"/>
    <n v="99"/>
    <n v="9"/>
    <n v="90"/>
    <x v="0"/>
    <d v="2025-01-27T00:00:00"/>
    <d v="2025-02-05T00:00:00"/>
    <n v="42840"/>
  </r>
  <r>
    <x v="2"/>
    <n v="21"/>
    <x v="1"/>
    <x v="6"/>
    <x v="3"/>
    <n v="3303"/>
    <d v="2024-06-28T00:00:00"/>
    <d v="2027-06-28T00:00:00"/>
    <n v="122"/>
    <n v="71"/>
    <n v="51"/>
    <x v="3"/>
    <d v="2024-09-08T00:00:00"/>
    <d v="2024-10-06T00:00:00"/>
    <n v="234513"/>
  </r>
  <r>
    <x v="2"/>
    <n v="22"/>
    <x v="7"/>
    <x v="5"/>
    <x v="5"/>
    <n v="2774"/>
    <d v="2024-08-10T00:00:00"/>
    <d v="2027-08-10T00:00:00"/>
    <n v="206"/>
    <n v="78"/>
    <n v="128"/>
    <x v="1"/>
    <d v="2024-08-16T00:00:00"/>
    <d v="2024-10-06T00:00:00"/>
    <n v="216372"/>
  </r>
  <r>
    <x v="2"/>
    <n v="23"/>
    <x v="9"/>
    <x v="6"/>
    <x v="4"/>
    <n v="2411"/>
    <d v="2024-06-23T00:00:00"/>
    <d v="2027-06-23T00:00:00"/>
    <n v="140"/>
    <n v="45"/>
    <n v="95"/>
    <x v="2"/>
    <d v="2024-07-26T00:00:00"/>
    <d v="2024-09-05T00:00:00"/>
    <n v="108495"/>
  </r>
  <r>
    <x v="2"/>
    <n v="24"/>
    <x v="3"/>
    <x v="5"/>
    <x v="0"/>
    <n v="2152"/>
    <d v="2024-03-30T00:00:00"/>
    <d v="2027-03-30T00:00:00"/>
    <n v="289"/>
    <n v="179"/>
    <n v="110"/>
    <x v="4"/>
    <d v="2024-06-26T00:00:00"/>
    <d v="2024-07-21T00:00:00"/>
    <n v="385208"/>
  </r>
  <r>
    <x v="2"/>
    <n v="25"/>
    <x v="2"/>
    <x v="7"/>
    <x v="0"/>
    <n v="2817"/>
    <d v="2024-08-10T00:00:00"/>
    <d v="2027-08-10T00:00:00"/>
    <n v="209"/>
    <n v="149"/>
    <n v="60"/>
    <x v="0"/>
    <d v="2024-09-03T00:00:00"/>
    <d v="2024-10-28T00:00:00"/>
    <n v="419733"/>
  </r>
  <r>
    <x v="2"/>
    <n v="26"/>
    <x v="0"/>
    <x v="2"/>
    <x v="3"/>
    <n v="1735"/>
    <d v="2024-03-02T00:00:00"/>
    <d v="2027-03-02T00:00:00"/>
    <n v="91"/>
    <n v="10"/>
    <n v="81"/>
    <x v="0"/>
    <d v="2024-03-23T00:00:00"/>
    <d v="2024-04-12T00:00:00"/>
    <n v="17350"/>
  </r>
  <r>
    <x v="2"/>
    <n v="27"/>
    <x v="2"/>
    <x v="3"/>
    <x v="1"/>
    <n v="4181"/>
    <d v="2025-01-17T00:00:00"/>
    <d v="2028-01-17T00:00:00"/>
    <n v="165"/>
    <n v="78"/>
    <n v="87"/>
    <x v="4"/>
    <d v="2025-02-09T00:00:00"/>
    <d v="2025-02-16T00:00:00"/>
    <n v="326118"/>
  </r>
  <r>
    <x v="2"/>
    <n v="28"/>
    <x v="1"/>
    <x v="0"/>
    <x v="3"/>
    <n v="4783"/>
    <d v="2024-03-25T00:00:00"/>
    <d v="2027-03-25T00:00:00"/>
    <n v="157"/>
    <n v="3"/>
    <n v="154"/>
    <x v="0"/>
    <d v="2024-07-08T00:00:00"/>
    <d v="2025-01-25T00:00:00"/>
    <n v="14349"/>
  </r>
  <r>
    <x v="2"/>
    <n v="29"/>
    <x v="7"/>
    <x v="6"/>
    <x v="4"/>
    <n v="1704"/>
    <d v="2024-09-08T00:00:00"/>
    <d v="2027-09-08T00:00:00"/>
    <n v="249"/>
    <n v="55"/>
    <n v="194"/>
    <x v="2"/>
    <d v="2024-10-30T00:00:00"/>
    <d v="2025-01-24T00:00:00"/>
    <n v="93720"/>
  </r>
  <r>
    <x v="2"/>
    <n v="30"/>
    <x v="4"/>
    <x v="2"/>
    <x v="4"/>
    <n v="2836"/>
    <d v="2024-04-28T00:00:00"/>
    <d v="2027-04-28T00:00:00"/>
    <n v="78"/>
    <n v="50"/>
    <n v="28"/>
    <x v="1"/>
    <d v="2024-06-15T00:00:00"/>
    <d v="2024-10-01T00:00:00"/>
    <n v="141800"/>
  </r>
  <r>
    <x v="2"/>
    <n v="31"/>
    <x v="5"/>
    <x v="9"/>
    <x v="0"/>
    <n v="4423"/>
    <d v="2025-01-04T00:00:00"/>
    <d v="2028-01-04T00:00:00"/>
    <n v="54"/>
    <n v="46"/>
    <n v="8"/>
    <x v="2"/>
    <d v="2025-01-24T00:00:00"/>
    <d v="2025-02-16T00:00:00"/>
    <n v="203458"/>
  </r>
  <r>
    <x v="2"/>
    <n v="32"/>
    <x v="6"/>
    <x v="0"/>
    <x v="2"/>
    <n v="4208"/>
    <d v="2024-07-27T00:00:00"/>
    <d v="2027-07-27T00:00:00"/>
    <n v="173"/>
    <n v="4"/>
    <n v="169"/>
    <x v="2"/>
    <d v="2024-11-02T00:00:00"/>
    <d v="2024-11-16T00:00:00"/>
    <n v="16832"/>
  </r>
  <r>
    <x v="2"/>
    <n v="33"/>
    <x v="0"/>
    <x v="7"/>
    <x v="0"/>
    <n v="4993"/>
    <d v="2025-01-17T00:00:00"/>
    <d v="2028-01-17T00:00:00"/>
    <n v="174"/>
    <n v="61"/>
    <n v="113"/>
    <x v="3"/>
    <d v="2025-01-20T00:00:00"/>
    <d v="2025-02-17T00:00:00"/>
    <n v="304573"/>
  </r>
  <r>
    <x v="2"/>
    <n v="34"/>
    <x v="7"/>
    <x v="8"/>
    <x v="2"/>
    <n v="2377"/>
    <d v="2024-08-23T00:00:00"/>
    <d v="2027-08-23T00:00:00"/>
    <n v="227"/>
    <n v="40"/>
    <n v="187"/>
    <x v="0"/>
    <d v="2025-01-23T00:00:00"/>
    <d v="2025-01-26T00:00:00"/>
    <n v="95080"/>
  </r>
  <r>
    <x v="3"/>
    <n v="1"/>
    <x v="2"/>
    <x v="3"/>
    <x v="1"/>
    <n v="2838"/>
    <d v="2024-02-19T00:00:00"/>
    <d v="2027-02-18T00:00:00"/>
    <n v="88"/>
    <n v="54"/>
    <n v="34"/>
    <x v="0"/>
    <d v="2024-06-22T00:00:00"/>
    <d v="2024-10-26T00:00:00"/>
    <n v="153252"/>
  </r>
  <r>
    <x v="3"/>
    <n v="2"/>
    <x v="1"/>
    <x v="1"/>
    <x v="2"/>
    <n v="3141"/>
    <d v="2024-04-11T00:00:00"/>
    <d v="2027-04-11T00:00:00"/>
    <n v="115"/>
    <n v="78"/>
    <n v="37"/>
    <x v="3"/>
    <d v="2024-10-25T00:00:00"/>
    <d v="2024-10-28T00:00:00"/>
    <n v="244998"/>
  </r>
  <r>
    <x v="3"/>
    <n v="3"/>
    <x v="8"/>
    <x v="4"/>
    <x v="0"/>
    <n v="2543"/>
    <d v="2024-03-01T00:00:00"/>
    <d v="2027-03-01T00:00:00"/>
    <n v="131"/>
    <n v="50"/>
    <n v="81"/>
    <x v="4"/>
    <d v="2025-01-09T00:00:00"/>
    <d v="2025-01-31T00:00:00"/>
    <n v="127150"/>
  </r>
  <r>
    <x v="3"/>
    <n v="4"/>
    <x v="0"/>
    <x v="5"/>
    <x v="4"/>
    <n v="2468"/>
    <d v="2024-03-15T00:00:00"/>
    <d v="2027-03-15T00:00:00"/>
    <n v="95"/>
    <n v="33"/>
    <n v="62"/>
    <x v="1"/>
    <d v="2025-02-10T00:00:00"/>
    <d v="2025-02-19T00:00:00"/>
    <n v="81444"/>
  </r>
  <r>
    <x v="3"/>
    <n v="5"/>
    <x v="7"/>
    <x v="9"/>
    <x v="5"/>
    <n v="4739"/>
    <d v="2025-02-01T00:00:00"/>
    <d v="2028-02-01T00:00:00"/>
    <n v="144"/>
    <n v="37"/>
    <n v="107"/>
    <x v="2"/>
    <d v="2025-02-08T00:00:00"/>
    <d v="2025-02-16T00:00:00"/>
    <n v="175343"/>
  </r>
  <r>
    <x v="3"/>
    <n v="6"/>
    <x v="0"/>
    <x v="4"/>
    <x v="3"/>
    <n v="3824"/>
    <d v="2024-10-07T00:00:00"/>
    <d v="2027-10-07T00:00:00"/>
    <n v="226"/>
    <n v="207"/>
    <n v="19"/>
    <x v="0"/>
    <d v="2025-01-25T00:00:00"/>
    <d v="2025-02-13T00:00:00"/>
    <n v="791568"/>
  </r>
  <r>
    <x v="3"/>
    <n v="7"/>
    <x v="8"/>
    <x v="8"/>
    <x v="2"/>
    <n v="4709"/>
    <d v="2024-11-28T00:00:00"/>
    <d v="2027-11-28T00:00:00"/>
    <n v="202"/>
    <n v="99"/>
    <n v="103"/>
    <x v="1"/>
    <d v="2024-12-13T00:00:00"/>
    <d v="2025-02-19T00:00:00"/>
    <n v="466191"/>
  </r>
  <r>
    <x v="3"/>
    <n v="8"/>
    <x v="0"/>
    <x v="5"/>
    <x v="3"/>
    <n v="696"/>
    <d v="2024-06-03T00:00:00"/>
    <d v="2027-06-03T00:00:00"/>
    <n v="59"/>
    <n v="18"/>
    <n v="41"/>
    <x v="3"/>
    <d v="2024-06-17T00:00:00"/>
    <d v="2025-02-11T00:00:00"/>
    <n v="12528"/>
  </r>
  <r>
    <x v="3"/>
    <n v="9"/>
    <x v="1"/>
    <x v="5"/>
    <x v="3"/>
    <n v="740"/>
    <d v="2024-12-06T00:00:00"/>
    <d v="2027-12-06T00:00:00"/>
    <n v="127"/>
    <n v="65"/>
    <n v="62"/>
    <x v="1"/>
    <d v="2024-12-17T00:00:00"/>
    <d v="2025-01-20T00:00:00"/>
    <n v="48100"/>
  </r>
  <r>
    <x v="3"/>
    <n v="10"/>
    <x v="7"/>
    <x v="2"/>
    <x v="4"/>
    <n v="3896"/>
    <d v="2024-04-08T00:00:00"/>
    <d v="2027-04-08T00:00:00"/>
    <n v="213"/>
    <n v="171"/>
    <n v="42"/>
    <x v="3"/>
    <d v="2024-10-15T00:00:00"/>
    <d v="2024-11-03T00:00:00"/>
    <n v="666216"/>
  </r>
  <r>
    <x v="3"/>
    <n v="11"/>
    <x v="8"/>
    <x v="4"/>
    <x v="1"/>
    <n v="2541"/>
    <d v="2024-08-23T00:00:00"/>
    <d v="2027-08-23T00:00:00"/>
    <n v="198"/>
    <n v="108"/>
    <n v="90"/>
    <x v="4"/>
    <d v="2024-09-02T00:00:00"/>
    <d v="2025-01-11T00:00:00"/>
    <n v="274428"/>
  </r>
  <r>
    <x v="3"/>
    <n v="12"/>
    <x v="4"/>
    <x v="5"/>
    <x v="1"/>
    <n v="4173"/>
    <d v="2024-11-27T00:00:00"/>
    <d v="2027-11-27T00:00:00"/>
    <n v="171"/>
    <n v="133"/>
    <n v="38"/>
    <x v="4"/>
    <d v="2024-11-29T00:00:00"/>
    <d v="2024-11-29T00:00:00"/>
    <n v="555009"/>
  </r>
  <r>
    <x v="3"/>
    <n v="13"/>
    <x v="7"/>
    <x v="6"/>
    <x v="2"/>
    <n v="2654"/>
    <d v="2024-05-30T00:00:00"/>
    <d v="2027-05-30T00:00:00"/>
    <n v="149"/>
    <n v="93"/>
    <n v="56"/>
    <x v="0"/>
    <d v="2024-11-26T00:00:00"/>
    <d v="2024-12-24T00:00:00"/>
    <n v="246822"/>
  </r>
  <r>
    <x v="3"/>
    <n v="14"/>
    <x v="3"/>
    <x v="1"/>
    <x v="3"/>
    <n v="3035"/>
    <d v="2025-01-13T00:00:00"/>
    <d v="2028-01-13T00:00:00"/>
    <n v="188"/>
    <n v="41"/>
    <n v="147"/>
    <x v="0"/>
    <d v="2025-02-02T00:00:00"/>
    <d v="2025-02-06T00:00:00"/>
    <n v="124435"/>
  </r>
  <r>
    <x v="3"/>
    <n v="15"/>
    <x v="4"/>
    <x v="6"/>
    <x v="0"/>
    <n v="3721"/>
    <d v="2024-11-16T00:00:00"/>
    <d v="2027-11-16T00:00:00"/>
    <n v="147"/>
    <n v="73"/>
    <n v="74"/>
    <x v="4"/>
    <d v="2024-12-28T00:00:00"/>
    <d v="2025-01-26T00:00:00"/>
    <n v="271633"/>
  </r>
  <r>
    <x v="3"/>
    <n v="16"/>
    <x v="1"/>
    <x v="3"/>
    <x v="4"/>
    <n v="3053"/>
    <d v="2025-01-17T00:00:00"/>
    <d v="2028-01-17T00:00:00"/>
    <n v="254"/>
    <n v="219"/>
    <n v="35"/>
    <x v="4"/>
    <d v="2025-01-17T00:00:00"/>
    <d v="2025-02-13T00:00:00"/>
    <n v="668607"/>
  </r>
  <r>
    <x v="3"/>
    <n v="17"/>
    <x v="8"/>
    <x v="5"/>
    <x v="1"/>
    <n v="4553"/>
    <d v="2025-01-09T00:00:00"/>
    <d v="2028-01-09T00:00:00"/>
    <n v="108"/>
    <n v="65"/>
    <n v="43"/>
    <x v="0"/>
    <d v="2025-02-14T00:00:00"/>
    <d v="2025-02-18T00:00:00"/>
    <n v="295945"/>
  </r>
  <r>
    <x v="3"/>
    <n v="18"/>
    <x v="4"/>
    <x v="2"/>
    <x v="0"/>
    <n v="4249"/>
    <d v="2024-09-10T00:00:00"/>
    <d v="2027-09-10T00:00:00"/>
    <n v="148"/>
    <n v="141"/>
    <n v="7"/>
    <x v="3"/>
    <d v="2025-02-15T00:00:00"/>
    <d v="2025-02-16T00:00:00"/>
    <n v="599109"/>
  </r>
  <r>
    <x v="3"/>
    <n v="19"/>
    <x v="6"/>
    <x v="5"/>
    <x v="3"/>
    <n v="4867"/>
    <d v="2024-07-21T00:00:00"/>
    <d v="2027-07-21T00:00:00"/>
    <n v="123"/>
    <n v="30"/>
    <n v="93"/>
    <x v="3"/>
    <d v="2024-12-22T00:00:00"/>
    <d v="2025-02-09T00:00:00"/>
    <n v="146010"/>
  </r>
  <r>
    <x v="3"/>
    <n v="20"/>
    <x v="0"/>
    <x v="4"/>
    <x v="1"/>
    <n v="1648"/>
    <d v="2024-05-02T00:00:00"/>
    <d v="2027-05-02T00:00:00"/>
    <n v="292"/>
    <n v="249"/>
    <n v="43"/>
    <x v="2"/>
    <d v="2024-08-04T00:00:00"/>
    <d v="2024-11-11T00:00:00"/>
    <n v="410352"/>
  </r>
  <r>
    <x v="3"/>
    <n v="21"/>
    <x v="7"/>
    <x v="8"/>
    <x v="3"/>
    <n v="4983"/>
    <d v="2024-05-15T00:00:00"/>
    <d v="2027-05-15T00:00:00"/>
    <n v="121"/>
    <n v="85"/>
    <n v="36"/>
    <x v="0"/>
    <d v="2024-08-06T00:00:00"/>
    <d v="2024-12-21T00:00:00"/>
    <n v="423555"/>
  </r>
  <r>
    <x v="3"/>
    <n v="22"/>
    <x v="2"/>
    <x v="8"/>
    <x v="1"/>
    <n v="3109"/>
    <d v="2024-11-21T00:00:00"/>
    <d v="2027-11-21T00:00:00"/>
    <n v="262"/>
    <n v="207"/>
    <n v="55"/>
    <x v="1"/>
    <d v="2025-02-02T00:00:00"/>
    <d v="2025-02-05T00:00:00"/>
    <n v="643563"/>
  </r>
  <r>
    <x v="3"/>
    <n v="23"/>
    <x v="6"/>
    <x v="7"/>
    <x v="5"/>
    <n v="2789"/>
    <d v="2025-01-03T00:00:00"/>
    <d v="2028-01-03T00:00:00"/>
    <n v="141"/>
    <n v="51"/>
    <n v="90"/>
    <x v="3"/>
    <d v="2025-01-23T00:00:00"/>
    <d v="2025-02-13T00:00:00"/>
    <n v="142239"/>
  </r>
  <r>
    <x v="3"/>
    <n v="24"/>
    <x v="1"/>
    <x v="5"/>
    <x v="4"/>
    <n v="3745"/>
    <d v="2025-01-16T00:00:00"/>
    <d v="2028-01-16T00:00:00"/>
    <n v="72"/>
    <n v="18"/>
    <n v="54"/>
    <x v="2"/>
    <d v="2025-02-10T00:00:00"/>
    <d v="2025-02-12T00:00:00"/>
    <n v="67410"/>
  </r>
  <r>
    <x v="3"/>
    <n v="25"/>
    <x v="5"/>
    <x v="0"/>
    <x v="1"/>
    <n v="4800"/>
    <d v="2024-06-18T00:00:00"/>
    <d v="2027-06-18T00:00:00"/>
    <n v="258"/>
    <n v="126"/>
    <n v="132"/>
    <x v="4"/>
    <d v="2025-02-10T00:00:00"/>
    <d v="2025-02-11T00:00:00"/>
    <n v="604800"/>
  </r>
  <r>
    <x v="3"/>
    <n v="26"/>
    <x v="4"/>
    <x v="9"/>
    <x v="4"/>
    <n v="4854"/>
    <d v="2024-08-17T00:00:00"/>
    <d v="2027-08-17T00:00:00"/>
    <n v="282"/>
    <n v="211"/>
    <n v="71"/>
    <x v="3"/>
    <d v="2025-02-12T00:00:00"/>
    <d v="2025-02-14T00:00:00"/>
    <n v="1024194"/>
  </r>
  <r>
    <x v="3"/>
    <n v="27"/>
    <x v="0"/>
    <x v="2"/>
    <x v="2"/>
    <n v="3390"/>
    <d v="2024-06-04T00:00:00"/>
    <d v="2027-06-04T00:00:00"/>
    <n v="83"/>
    <n v="5"/>
    <n v="78"/>
    <x v="3"/>
    <d v="2024-07-24T00:00:00"/>
    <d v="2024-08-21T00:00:00"/>
    <n v="16950"/>
  </r>
  <r>
    <x v="3"/>
    <n v="28"/>
    <x v="1"/>
    <x v="5"/>
    <x v="4"/>
    <n v="4411"/>
    <d v="2024-03-06T00:00:00"/>
    <d v="2027-03-06T00:00:00"/>
    <n v="237"/>
    <n v="100"/>
    <n v="137"/>
    <x v="1"/>
    <d v="2024-10-06T00:00:00"/>
    <d v="2025-01-03T00:00:00"/>
    <n v="441100"/>
  </r>
  <r>
    <x v="3"/>
    <n v="29"/>
    <x v="2"/>
    <x v="1"/>
    <x v="0"/>
    <n v="4244"/>
    <d v="2024-08-10T00:00:00"/>
    <d v="2027-08-10T00:00:00"/>
    <n v="114"/>
    <n v="106"/>
    <n v="8"/>
    <x v="0"/>
    <d v="2024-11-16T00:00:00"/>
    <d v="2025-01-28T00:00:00"/>
    <n v="449864"/>
  </r>
  <r>
    <x v="3"/>
    <n v="30"/>
    <x v="4"/>
    <x v="5"/>
    <x v="2"/>
    <n v="4982"/>
    <d v="2024-09-23T00:00:00"/>
    <d v="2027-09-23T00:00:00"/>
    <n v="172"/>
    <n v="42"/>
    <n v="130"/>
    <x v="0"/>
    <d v="2024-11-06T00:00:00"/>
    <d v="2024-11-21T00:00:00"/>
    <n v="209244"/>
  </r>
  <r>
    <x v="3"/>
    <n v="31"/>
    <x v="3"/>
    <x v="2"/>
    <x v="0"/>
    <n v="1871"/>
    <d v="2024-11-14T00:00:00"/>
    <d v="2027-11-14T00:00:00"/>
    <n v="240"/>
    <n v="52"/>
    <n v="188"/>
    <x v="0"/>
    <d v="2024-12-07T00:00:00"/>
    <d v="2025-02-04T00:00:00"/>
    <n v="97292"/>
  </r>
  <r>
    <x v="3"/>
    <n v="32"/>
    <x v="4"/>
    <x v="4"/>
    <x v="1"/>
    <n v="1526"/>
    <d v="2024-10-07T00:00:00"/>
    <d v="2027-10-07T00:00:00"/>
    <n v="282"/>
    <n v="199"/>
    <n v="83"/>
    <x v="2"/>
    <d v="2025-01-28T00:00:00"/>
    <d v="2025-01-30T00:00:00"/>
    <n v="303674"/>
  </r>
  <r>
    <x v="3"/>
    <n v="33"/>
    <x v="5"/>
    <x v="6"/>
    <x v="5"/>
    <n v="2606"/>
    <d v="2024-12-28T00:00:00"/>
    <d v="2027-12-28T00:00:00"/>
    <n v="65"/>
    <n v="33"/>
    <n v="32"/>
    <x v="3"/>
    <d v="2025-01-11T00:00:00"/>
    <d v="2025-01-28T00:00:00"/>
    <n v="85998"/>
  </r>
  <r>
    <x v="3"/>
    <n v="34"/>
    <x v="1"/>
    <x v="8"/>
    <x v="1"/>
    <n v="1825"/>
    <d v="2024-11-03T00:00:00"/>
    <d v="2027-11-03T00:00:00"/>
    <n v="209"/>
    <n v="59"/>
    <n v="150"/>
    <x v="0"/>
    <d v="2025-02-18T00:00:00"/>
    <d v="2025-02-18T00:00:00"/>
    <n v="1076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n v="1"/>
    <x v="0"/>
    <x v="0"/>
    <x v="0"/>
    <n v="3392"/>
    <d v="2024-05-24T00:00:00"/>
    <d v="2027-05-24T00:00:00"/>
    <n v="163"/>
    <n v="117"/>
    <n v="46"/>
    <x v="0"/>
    <d v="2024-08-11T00:00:00"/>
    <x v="0"/>
    <n v="396864"/>
  </r>
  <r>
    <x v="0"/>
    <n v="2"/>
    <x v="1"/>
    <x v="1"/>
    <x v="1"/>
    <n v="4654"/>
    <d v="2024-03-14T00:00:00"/>
    <d v="2027-03-14T00:00:00"/>
    <n v="59"/>
    <n v="14"/>
    <n v="45"/>
    <x v="1"/>
    <d v="2024-09-20T00:00:00"/>
    <x v="1"/>
    <n v="65156"/>
  </r>
  <r>
    <x v="0"/>
    <n v="3"/>
    <x v="0"/>
    <x v="0"/>
    <x v="2"/>
    <n v="1754"/>
    <d v="2024-08-20T00:00:00"/>
    <d v="2027-08-20T00:00:00"/>
    <n v="108"/>
    <n v="81"/>
    <n v="27"/>
    <x v="1"/>
    <d v="2025-01-19T00:00:00"/>
    <x v="2"/>
    <n v="142074"/>
  </r>
  <r>
    <x v="0"/>
    <n v="4"/>
    <x v="2"/>
    <x v="1"/>
    <x v="3"/>
    <n v="3006"/>
    <d v="2024-04-26T00:00:00"/>
    <d v="2027-04-26T00:00:00"/>
    <n v="269"/>
    <n v="247"/>
    <n v="22"/>
    <x v="2"/>
    <d v="2024-12-05T00:00:00"/>
    <x v="3"/>
    <n v="742482"/>
  </r>
  <r>
    <x v="0"/>
    <n v="5"/>
    <x v="3"/>
    <x v="2"/>
    <x v="0"/>
    <n v="619"/>
    <d v="2024-09-02T00:00:00"/>
    <d v="2027-09-02T00:00:00"/>
    <n v="71"/>
    <n v="2"/>
    <n v="69"/>
    <x v="3"/>
    <d v="2024-12-31T00:00:00"/>
    <x v="4"/>
    <n v="1238"/>
  </r>
  <r>
    <x v="0"/>
    <n v="6"/>
    <x v="0"/>
    <x v="1"/>
    <x v="0"/>
    <n v="2040"/>
    <d v="2024-06-17T00:00:00"/>
    <d v="2027-06-17T00:00:00"/>
    <n v="249"/>
    <n v="102"/>
    <n v="147"/>
    <x v="0"/>
    <d v="2024-09-26T00:00:00"/>
    <x v="5"/>
    <n v="208080"/>
  </r>
  <r>
    <x v="0"/>
    <n v="7"/>
    <x v="4"/>
    <x v="1"/>
    <x v="1"/>
    <n v="2400"/>
    <d v="2024-06-26T00:00:00"/>
    <d v="2027-06-26T00:00:00"/>
    <n v="180"/>
    <n v="0"/>
    <n v="180"/>
    <x v="2"/>
    <d v="2024-07-25T00:00:00"/>
    <x v="6"/>
    <n v="0"/>
  </r>
  <r>
    <x v="0"/>
    <n v="8"/>
    <x v="2"/>
    <x v="2"/>
    <x v="4"/>
    <n v="2329"/>
    <d v="2024-07-12T00:00:00"/>
    <d v="2027-07-12T00:00:00"/>
    <n v="209"/>
    <n v="60"/>
    <n v="149"/>
    <x v="4"/>
    <d v="2025-01-31T00:00:00"/>
    <x v="7"/>
    <n v="139740"/>
  </r>
  <r>
    <x v="0"/>
    <n v="9"/>
    <x v="5"/>
    <x v="3"/>
    <x v="0"/>
    <n v="1614"/>
    <d v="2025-02-04T00:00:00"/>
    <d v="2028-02-04T00:00:00"/>
    <n v="283"/>
    <n v="166"/>
    <n v="117"/>
    <x v="3"/>
    <d v="2025-02-04T00:00:00"/>
    <x v="8"/>
    <n v="267924"/>
  </r>
  <r>
    <x v="0"/>
    <n v="10"/>
    <x v="6"/>
    <x v="3"/>
    <x v="4"/>
    <n v="1560"/>
    <d v="2024-12-17T00:00:00"/>
    <d v="2027-12-17T00:00:00"/>
    <n v="177"/>
    <n v="29"/>
    <n v="148"/>
    <x v="2"/>
    <d v="2025-02-02T00:00:00"/>
    <x v="9"/>
    <n v="45240"/>
  </r>
  <r>
    <x v="0"/>
    <n v="11"/>
    <x v="7"/>
    <x v="4"/>
    <x v="2"/>
    <n v="2885"/>
    <d v="2024-03-03T00:00:00"/>
    <d v="2027-03-03T00:00:00"/>
    <n v="54"/>
    <n v="21"/>
    <n v="33"/>
    <x v="1"/>
    <d v="2024-05-25T00:00:00"/>
    <x v="10"/>
    <n v="60585"/>
  </r>
  <r>
    <x v="0"/>
    <n v="12"/>
    <x v="2"/>
    <x v="5"/>
    <x v="1"/>
    <n v="933"/>
    <d v="2024-03-14T00:00:00"/>
    <d v="2027-03-14T00:00:00"/>
    <n v="203"/>
    <n v="67"/>
    <n v="136"/>
    <x v="0"/>
    <d v="2024-11-11T00:00:00"/>
    <x v="11"/>
    <n v="62511"/>
  </r>
  <r>
    <x v="0"/>
    <n v="13"/>
    <x v="1"/>
    <x v="6"/>
    <x v="5"/>
    <n v="2111"/>
    <d v="2024-12-02T00:00:00"/>
    <d v="2027-12-02T00:00:00"/>
    <n v="58"/>
    <n v="1"/>
    <n v="57"/>
    <x v="0"/>
    <d v="2024-12-10T00:00:00"/>
    <x v="12"/>
    <n v="2111"/>
  </r>
  <r>
    <x v="0"/>
    <n v="14"/>
    <x v="2"/>
    <x v="4"/>
    <x v="0"/>
    <n v="3244"/>
    <d v="2024-03-02T00:00:00"/>
    <d v="2027-03-02T00:00:00"/>
    <n v="68"/>
    <n v="28"/>
    <n v="40"/>
    <x v="3"/>
    <d v="2024-11-27T00:00:00"/>
    <x v="13"/>
    <n v="90832"/>
  </r>
  <r>
    <x v="0"/>
    <n v="15"/>
    <x v="7"/>
    <x v="5"/>
    <x v="2"/>
    <n v="1361"/>
    <d v="2025-01-25T00:00:00"/>
    <d v="2028-01-25T00:00:00"/>
    <n v="242"/>
    <n v="37"/>
    <n v="205"/>
    <x v="0"/>
    <d v="2025-01-26T00:00:00"/>
    <x v="13"/>
    <n v="50357"/>
  </r>
  <r>
    <x v="0"/>
    <n v="16"/>
    <x v="8"/>
    <x v="4"/>
    <x v="1"/>
    <n v="1043"/>
    <d v="2024-12-28T00:00:00"/>
    <d v="2027-12-28T00:00:00"/>
    <n v="111"/>
    <n v="47"/>
    <n v="64"/>
    <x v="2"/>
    <d v="2025-01-08T00:00:00"/>
    <x v="14"/>
    <n v="49021"/>
  </r>
  <r>
    <x v="0"/>
    <n v="17"/>
    <x v="9"/>
    <x v="0"/>
    <x v="4"/>
    <n v="1488"/>
    <d v="2024-03-06T00:00:00"/>
    <d v="2027-03-06T00:00:00"/>
    <n v="127"/>
    <n v="32"/>
    <n v="95"/>
    <x v="1"/>
    <d v="2024-07-25T00:00:00"/>
    <x v="15"/>
    <n v="47616"/>
  </r>
  <r>
    <x v="0"/>
    <n v="18"/>
    <x v="9"/>
    <x v="7"/>
    <x v="0"/>
    <n v="2262"/>
    <d v="2024-02-25T00:00:00"/>
    <d v="2027-02-24T00:00:00"/>
    <n v="144"/>
    <n v="7"/>
    <n v="137"/>
    <x v="2"/>
    <d v="2024-10-28T00:00:00"/>
    <x v="16"/>
    <n v="15834"/>
  </r>
  <r>
    <x v="0"/>
    <n v="19"/>
    <x v="8"/>
    <x v="8"/>
    <x v="1"/>
    <n v="753"/>
    <d v="2024-02-26T00:00:00"/>
    <d v="2027-02-25T00:00:00"/>
    <n v="228"/>
    <n v="135"/>
    <n v="93"/>
    <x v="3"/>
    <d v="2024-08-22T00:00:00"/>
    <x v="17"/>
    <n v="101655"/>
  </r>
  <r>
    <x v="0"/>
    <n v="20"/>
    <x v="0"/>
    <x v="0"/>
    <x v="0"/>
    <n v="2696"/>
    <d v="2024-08-21T00:00:00"/>
    <d v="2027-08-21T00:00:00"/>
    <n v="70"/>
    <n v="43"/>
    <n v="27"/>
    <x v="3"/>
    <d v="2024-10-05T00:00:00"/>
    <x v="18"/>
    <n v="115928"/>
  </r>
  <r>
    <x v="0"/>
    <n v="21"/>
    <x v="4"/>
    <x v="3"/>
    <x v="4"/>
    <n v="2601"/>
    <d v="2025-02-15T00:00:00"/>
    <d v="2028-02-15T00:00:00"/>
    <n v="135"/>
    <n v="48"/>
    <n v="87"/>
    <x v="4"/>
    <d v="2025-02-18T00:00:00"/>
    <x v="19"/>
    <n v="124848"/>
  </r>
  <r>
    <x v="0"/>
    <n v="22"/>
    <x v="1"/>
    <x v="7"/>
    <x v="3"/>
    <n v="2334"/>
    <d v="2024-08-24T00:00:00"/>
    <d v="2027-08-24T00:00:00"/>
    <n v="108"/>
    <n v="59"/>
    <n v="49"/>
    <x v="3"/>
    <d v="2024-12-01T00:00:00"/>
    <x v="20"/>
    <n v="137706"/>
  </r>
  <r>
    <x v="0"/>
    <n v="23"/>
    <x v="9"/>
    <x v="1"/>
    <x v="5"/>
    <n v="3194"/>
    <d v="2024-06-09T00:00:00"/>
    <d v="2027-06-09T00:00:00"/>
    <n v="61"/>
    <n v="24"/>
    <n v="37"/>
    <x v="4"/>
    <d v="2024-08-30T00:00:00"/>
    <x v="21"/>
    <n v="76656"/>
  </r>
  <r>
    <x v="0"/>
    <n v="24"/>
    <x v="0"/>
    <x v="0"/>
    <x v="1"/>
    <n v="3254"/>
    <d v="2024-03-24T00:00:00"/>
    <d v="2027-03-24T00:00:00"/>
    <n v="120"/>
    <n v="29"/>
    <n v="91"/>
    <x v="0"/>
    <d v="2024-11-05T00:00:00"/>
    <x v="22"/>
    <n v="94366"/>
  </r>
  <r>
    <x v="0"/>
    <n v="25"/>
    <x v="5"/>
    <x v="2"/>
    <x v="3"/>
    <n v="1952"/>
    <d v="2024-02-17T00:00:00"/>
    <d v="2027-02-16T00:00:00"/>
    <n v="83"/>
    <n v="48"/>
    <n v="35"/>
    <x v="1"/>
    <d v="2024-05-20T00:00:00"/>
    <x v="23"/>
    <n v="93696"/>
  </r>
  <r>
    <x v="0"/>
    <n v="26"/>
    <x v="5"/>
    <x v="6"/>
    <x v="2"/>
    <n v="1161"/>
    <d v="2024-12-25T00:00:00"/>
    <d v="2027-12-25T00:00:00"/>
    <n v="184"/>
    <n v="51"/>
    <n v="133"/>
    <x v="1"/>
    <d v="2024-12-28T00:00:00"/>
    <x v="24"/>
    <n v="59211"/>
  </r>
  <r>
    <x v="0"/>
    <n v="27"/>
    <x v="6"/>
    <x v="0"/>
    <x v="3"/>
    <n v="4036"/>
    <d v="2024-03-07T00:00:00"/>
    <d v="2027-03-07T00:00:00"/>
    <n v="84"/>
    <n v="24"/>
    <n v="60"/>
    <x v="4"/>
    <d v="2024-06-20T00:00:00"/>
    <x v="25"/>
    <n v="96864"/>
  </r>
  <r>
    <x v="0"/>
    <n v="28"/>
    <x v="9"/>
    <x v="4"/>
    <x v="0"/>
    <n v="2906"/>
    <d v="2024-06-26T00:00:00"/>
    <d v="2027-06-26T00:00:00"/>
    <n v="287"/>
    <n v="199"/>
    <n v="88"/>
    <x v="0"/>
    <d v="2024-11-21T00:00:00"/>
    <x v="4"/>
    <n v="578294"/>
  </r>
  <r>
    <x v="0"/>
    <n v="29"/>
    <x v="8"/>
    <x v="2"/>
    <x v="0"/>
    <n v="1794"/>
    <d v="2024-07-02T00:00:00"/>
    <d v="2027-07-02T00:00:00"/>
    <n v="295"/>
    <n v="237"/>
    <n v="58"/>
    <x v="1"/>
    <d v="2024-07-06T00:00:00"/>
    <x v="26"/>
    <n v="425178"/>
  </r>
  <r>
    <x v="0"/>
    <n v="30"/>
    <x v="4"/>
    <x v="5"/>
    <x v="2"/>
    <n v="2291"/>
    <d v="2024-09-04T00:00:00"/>
    <d v="2027-09-04T00:00:00"/>
    <n v="184"/>
    <n v="183"/>
    <n v="1"/>
    <x v="3"/>
    <d v="2024-10-30T00:00:00"/>
    <x v="4"/>
    <n v="419253"/>
  </r>
  <r>
    <x v="0"/>
    <n v="31"/>
    <x v="1"/>
    <x v="3"/>
    <x v="4"/>
    <n v="1220"/>
    <d v="2024-05-16T00:00:00"/>
    <d v="2027-05-16T00:00:00"/>
    <n v="171"/>
    <n v="14"/>
    <n v="157"/>
    <x v="3"/>
    <d v="2024-11-12T00:00:00"/>
    <x v="27"/>
    <n v="17080"/>
  </r>
  <r>
    <x v="0"/>
    <n v="32"/>
    <x v="6"/>
    <x v="8"/>
    <x v="4"/>
    <n v="3267"/>
    <d v="2024-06-03T00:00:00"/>
    <d v="2027-06-03T00:00:00"/>
    <n v="54"/>
    <n v="50"/>
    <n v="4"/>
    <x v="2"/>
    <d v="2024-11-15T00:00:00"/>
    <x v="28"/>
    <n v="163350"/>
  </r>
  <r>
    <x v="0"/>
    <n v="33"/>
    <x v="4"/>
    <x v="6"/>
    <x v="5"/>
    <n v="1684"/>
    <d v="2024-07-14T00:00:00"/>
    <d v="2027-07-14T00:00:00"/>
    <n v="84"/>
    <n v="5"/>
    <n v="79"/>
    <x v="4"/>
    <d v="2024-12-30T00:00:00"/>
    <x v="3"/>
    <n v="8420"/>
  </r>
  <r>
    <x v="0"/>
    <n v="34"/>
    <x v="2"/>
    <x v="6"/>
    <x v="2"/>
    <n v="2034"/>
    <d v="2024-08-08T00:00:00"/>
    <d v="2027-08-08T00:00:00"/>
    <n v="248"/>
    <n v="87"/>
    <n v="161"/>
    <x v="0"/>
    <d v="2024-09-26T00:00:00"/>
    <x v="29"/>
    <n v="176958"/>
  </r>
  <r>
    <x v="1"/>
    <n v="1"/>
    <x v="7"/>
    <x v="0"/>
    <x v="5"/>
    <n v="1387"/>
    <d v="2024-02-20T00:00:00"/>
    <d v="2027-02-19T00:00:00"/>
    <n v="145"/>
    <n v="125"/>
    <n v="20"/>
    <x v="2"/>
    <d v="2024-08-01T00:00:00"/>
    <x v="30"/>
    <n v="173375"/>
  </r>
  <r>
    <x v="1"/>
    <n v="2"/>
    <x v="5"/>
    <x v="9"/>
    <x v="4"/>
    <n v="3099"/>
    <d v="2025-02-06T00:00:00"/>
    <d v="2028-02-06T00:00:00"/>
    <n v="201"/>
    <n v="147"/>
    <n v="54"/>
    <x v="2"/>
    <d v="2025-02-11T00:00:00"/>
    <x v="31"/>
    <n v="455553"/>
  </r>
  <r>
    <x v="1"/>
    <n v="3"/>
    <x v="7"/>
    <x v="0"/>
    <x v="5"/>
    <n v="976"/>
    <d v="2024-12-25T00:00:00"/>
    <d v="2027-12-25T00:00:00"/>
    <n v="183"/>
    <n v="170"/>
    <n v="13"/>
    <x v="0"/>
    <d v="2025-02-04T00:00:00"/>
    <x v="32"/>
    <n v="165920"/>
  </r>
  <r>
    <x v="1"/>
    <n v="4"/>
    <x v="3"/>
    <x v="3"/>
    <x v="3"/>
    <n v="4806"/>
    <d v="2024-11-08T00:00:00"/>
    <d v="2027-11-08T00:00:00"/>
    <n v="161"/>
    <n v="154"/>
    <n v="7"/>
    <x v="2"/>
    <d v="2024-12-18T00:00:00"/>
    <x v="7"/>
    <n v="740124"/>
  </r>
  <r>
    <x v="1"/>
    <n v="5"/>
    <x v="7"/>
    <x v="0"/>
    <x v="1"/>
    <n v="2540"/>
    <d v="2024-11-13T00:00:00"/>
    <d v="2027-11-13T00:00:00"/>
    <n v="126"/>
    <n v="52"/>
    <n v="74"/>
    <x v="1"/>
    <d v="2025-01-12T00:00:00"/>
    <x v="5"/>
    <n v="132080"/>
  </r>
  <r>
    <x v="1"/>
    <n v="6"/>
    <x v="4"/>
    <x v="0"/>
    <x v="0"/>
    <n v="853"/>
    <d v="2024-09-29T00:00:00"/>
    <d v="2027-09-29T00:00:00"/>
    <n v="144"/>
    <n v="35"/>
    <n v="109"/>
    <x v="0"/>
    <d v="2025-01-01T00:00:00"/>
    <x v="33"/>
    <n v="29855"/>
  </r>
  <r>
    <x v="1"/>
    <n v="7"/>
    <x v="5"/>
    <x v="3"/>
    <x v="2"/>
    <n v="2474"/>
    <d v="2024-10-23T00:00:00"/>
    <d v="2027-10-23T00:00:00"/>
    <n v="123"/>
    <n v="77"/>
    <n v="46"/>
    <x v="0"/>
    <d v="2025-02-10T00:00:00"/>
    <x v="34"/>
    <n v="190498"/>
  </r>
  <r>
    <x v="1"/>
    <n v="8"/>
    <x v="9"/>
    <x v="3"/>
    <x v="3"/>
    <n v="1481"/>
    <d v="2024-06-09T00:00:00"/>
    <d v="2027-06-09T00:00:00"/>
    <n v="94"/>
    <n v="67"/>
    <n v="27"/>
    <x v="4"/>
    <d v="2024-08-30T00:00:00"/>
    <x v="3"/>
    <n v="99227"/>
  </r>
  <r>
    <x v="1"/>
    <n v="9"/>
    <x v="5"/>
    <x v="2"/>
    <x v="3"/>
    <n v="3991"/>
    <d v="2024-09-01T00:00:00"/>
    <d v="2027-09-01T00:00:00"/>
    <n v="162"/>
    <n v="58"/>
    <n v="104"/>
    <x v="2"/>
    <d v="2024-12-10T00:00:00"/>
    <x v="24"/>
    <n v="231478"/>
  </r>
  <r>
    <x v="1"/>
    <n v="10"/>
    <x v="6"/>
    <x v="3"/>
    <x v="2"/>
    <n v="1434"/>
    <d v="2024-12-29T00:00:00"/>
    <d v="2027-12-29T00:00:00"/>
    <n v="58"/>
    <n v="48"/>
    <n v="10"/>
    <x v="1"/>
    <d v="2025-02-01T00:00:00"/>
    <x v="9"/>
    <n v="68832"/>
  </r>
  <r>
    <x v="1"/>
    <n v="11"/>
    <x v="4"/>
    <x v="9"/>
    <x v="2"/>
    <n v="803"/>
    <d v="2024-03-23T00:00:00"/>
    <d v="2027-03-23T00:00:00"/>
    <n v="251"/>
    <n v="29"/>
    <n v="222"/>
    <x v="2"/>
    <d v="2024-09-24T00:00:00"/>
    <x v="35"/>
    <n v="23287"/>
  </r>
  <r>
    <x v="1"/>
    <n v="12"/>
    <x v="4"/>
    <x v="1"/>
    <x v="5"/>
    <n v="2084"/>
    <d v="2024-07-10T00:00:00"/>
    <d v="2027-07-10T00:00:00"/>
    <n v="112"/>
    <n v="85"/>
    <n v="27"/>
    <x v="1"/>
    <d v="2024-11-18T00:00:00"/>
    <x v="36"/>
    <n v="177140"/>
  </r>
  <r>
    <x v="1"/>
    <n v="13"/>
    <x v="4"/>
    <x v="7"/>
    <x v="3"/>
    <n v="2277"/>
    <d v="2024-04-23T00:00:00"/>
    <d v="2027-04-23T00:00:00"/>
    <n v="280"/>
    <n v="262"/>
    <n v="18"/>
    <x v="1"/>
    <d v="2024-07-26T00:00:00"/>
    <x v="31"/>
    <n v="596574"/>
  </r>
  <r>
    <x v="1"/>
    <n v="14"/>
    <x v="3"/>
    <x v="5"/>
    <x v="1"/>
    <n v="924"/>
    <d v="2024-02-21T00:00:00"/>
    <d v="2027-02-20T00:00:00"/>
    <n v="98"/>
    <n v="96"/>
    <n v="2"/>
    <x v="3"/>
    <d v="2024-10-05T00:00:00"/>
    <x v="1"/>
    <n v="88704"/>
  </r>
  <r>
    <x v="1"/>
    <n v="15"/>
    <x v="6"/>
    <x v="7"/>
    <x v="4"/>
    <n v="2658"/>
    <d v="2024-06-03T00:00:00"/>
    <d v="2027-06-03T00:00:00"/>
    <n v="192"/>
    <n v="172"/>
    <n v="20"/>
    <x v="1"/>
    <d v="2024-11-23T00:00:00"/>
    <x v="37"/>
    <n v="457176"/>
  </r>
  <r>
    <x v="1"/>
    <n v="16"/>
    <x v="9"/>
    <x v="8"/>
    <x v="4"/>
    <n v="2673"/>
    <d v="2024-06-27T00:00:00"/>
    <d v="2027-06-27T00:00:00"/>
    <n v="81"/>
    <n v="65"/>
    <n v="16"/>
    <x v="4"/>
    <d v="2025-01-25T00:00:00"/>
    <x v="8"/>
    <n v="173745"/>
  </r>
  <r>
    <x v="1"/>
    <n v="17"/>
    <x v="6"/>
    <x v="2"/>
    <x v="1"/>
    <n v="2660"/>
    <d v="2025-01-02T00:00:00"/>
    <d v="2028-01-02T00:00:00"/>
    <n v="283"/>
    <n v="188"/>
    <n v="95"/>
    <x v="1"/>
    <d v="2025-01-25T00:00:00"/>
    <x v="38"/>
    <n v="500080"/>
  </r>
  <r>
    <x v="1"/>
    <n v="18"/>
    <x v="1"/>
    <x v="4"/>
    <x v="0"/>
    <n v="1972"/>
    <d v="2024-07-09T00:00:00"/>
    <d v="2027-07-09T00:00:00"/>
    <n v="195"/>
    <n v="163"/>
    <n v="32"/>
    <x v="3"/>
    <d v="2024-10-11T00:00:00"/>
    <x v="39"/>
    <n v="321436"/>
  </r>
  <r>
    <x v="1"/>
    <n v="19"/>
    <x v="6"/>
    <x v="9"/>
    <x v="0"/>
    <n v="4793"/>
    <d v="2024-08-14T00:00:00"/>
    <d v="2027-08-14T00:00:00"/>
    <n v="270"/>
    <n v="22"/>
    <n v="248"/>
    <x v="3"/>
    <d v="2024-09-12T00:00:00"/>
    <x v="40"/>
    <n v="105446"/>
  </r>
  <r>
    <x v="1"/>
    <n v="20"/>
    <x v="7"/>
    <x v="4"/>
    <x v="1"/>
    <n v="3290"/>
    <d v="2024-11-10T00:00:00"/>
    <d v="2027-11-10T00:00:00"/>
    <n v="122"/>
    <n v="65"/>
    <n v="57"/>
    <x v="0"/>
    <d v="2024-12-09T00:00:00"/>
    <x v="41"/>
    <n v="213850"/>
  </r>
  <r>
    <x v="1"/>
    <n v="21"/>
    <x v="8"/>
    <x v="0"/>
    <x v="3"/>
    <n v="4777"/>
    <d v="2024-04-16T00:00:00"/>
    <d v="2027-04-16T00:00:00"/>
    <n v="54"/>
    <n v="27"/>
    <n v="27"/>
    <x v="0"/>
    <d v="2024-07-18T00:00:00"/>
    <x v="42"/>
    <n v="128979"/>
  </r>
  <r>
    <x v="1"/>
    <n v="22"/>
    <x v="6"/>
    <x v="0"/>
    <x v="2"/>
    <n v="672"/>
    <d v="2024-05-29T00:00:00"/>
    <d v="2027-05-29T00:00:00"/>
    <n v="112"/>
    <n v="69"/>
    <n v="43"/>
    <x v="1"/>
    <d v="2024-06-15T00:00:00"/>
    <x v="43"/>
    <n v="46368"/>
  </r>
  <r>
    <x v="1"/>
    <n v="23"/>
    <x v="8"/>
    <x v="4"/>
    <x v="4"/>
    <n v="1240"/>
    <d v="2025-02-07T00:00:00"/>
    <d v="2028-02-07T00:00:00"/>
    <n v="93"/>
    <n v="26"/>
    <n v="67"/>
    <x v="0"/>
    <d v="2025-02-19T00:00:00"/>
    <x v="44"/>
    <n v="32240"/>
  </r>
  <r>
    <x v="1"/>
    <n v="24"/>
    <x v="2"/>
    <x v="4"/>
    <x v="1"/>
    <n v="1114"/>
    <d v="2024-04-15T00:00:00"/>
    <d v="2027-04-15T00:00:00"/>
    <n v="62"/>
    <n v="7"/>
    <n v="55"/>
    <x v="4"/>
    <d v="2025-01-22T00:00:00"/>
    <x v="4"/>
    <n v="7798"/>
  </r>
  <r>
    <x v="1"/>
    <n v="25"/>
    <x v="1"/>
    <x v="6"/>
    <x v="5"/>
    <n v="2207"/>
    <d v="2024-08-25T00:00:00"/>
    <d v="2027-08-25T00:00:00"/>
    <n v="235"/>
    <n v="186"/>
    <n v="49"/>
    <x v="1"/>
    <d v="2024-09-23T00:00:00"/>
    <x v="45"/>
    <n v="410502"/>
  </r>
  <r>
    <x v="1"/>
    <n v="26"/>
    <x v="8"/>
    <x v="9"/>
    <x v="2"/>
    <n v="4098"/>
    <d v="2024-07-20T00:00:00"/>
    <d v="2027-07-20T00:00:00"/>
    <n v="53"/>
    <n v="38"/>
    <n v="15"/>
    <x v="2"/>
    <d v="2025-01-18T00:00:00"/>
    <x v="46"/>
    <n v="155724"/>
  </r>
  <r>
    <x v="1"/>
    <n v="27"/>
    <x v="0"/>
    <x v="7"/>
    <x v="4"/>
    <n v="4065"/>
    <d v="2024-11-09T00:00:00"/>
    <d v="2027-11-09T00:00:00"/>
    <n v="201"/>
    <n v="170"/>
    <n v="31"/>
    <x v="2"/>
    <d v="2025-01-11T00:00:00"/>
    <x v="47"/>
    <n v="691050"/>
  </r>
  <r>
    <x v="1"/>
    <n v="28"/>
    <x v="7"/>
    <x v="3"/>
    <x v="3"/>
    <n v="2138"/>
    <d v="2024-07-21T00:00:00"/>
    <d v="2027-07-21T00:00:00"/>
    <n v="267"/>
    <n v="214"/>
    <n v="53"/>
    <x v="0"/>
    <d v="2024-11-19T00:00:00"/>
    <x v="20"/>
    <n v="457532"/>
  </r>
  <r>
    <x v="1"/>
    <n v="29"/>
    <x v="2"/>
    <x v="5"/>
    <x v="4"/>
    <n v="4548"/>
    <d v="2024-09-05T00:00:00"/>
    <d v="2027-09-05T00:00:00"/>
    <n v="181"/>
    <n v="172"/>
    <n v="9"/>
    <x v="2"/>
    <d v="2024-10-21T00:00:00"/>
    <x v="48"/>
    <n v="782256"/>
  </r>
  <r>
    <x v="1"/>
    <n v="30"/>
    <x v="9"/>
    <x v="1"/>
    <x v="0"/>
    <n v="3895"/>
    <d v="2024-11-27T00:00:00"/>
    <d v="2027-11-27T00:00:00"/>
    <n v="250"/>
    <n v="6"/>
    <n v="244"/>
    <x v="0"/>
    <d v="2025-02-12T00:00:00"/>
    <x v="19"/>
    <n v="23370"/>
  </r>
  <r>
    <x v="1"/>
    <n v="31"/>
    <x v="8"/>
    <x v="7"/>
    <x v="5"/>
    <n v="1579"/>
    <d v="2024-09-16T00:00:00"/>
    <d v="2027-09-16T00:00:00"/>
    <n v="297"/>
    <n v="18"/>
    <n v="279"/>
    <x v="4"/>
    <d v="2024-11-11T00:00:00"/>
    <x v="8"/>
    <n v="28422"/>
  </r>
  <r>
    <x v="1"/>
    <n v="32"/>
    <x v="8"/>
    <x v="9"/>
    <x v="3"/>
    <n v="2512"/>
    <d v="2024-06-03T00:00:00"/>
    <d v="2027-06-03T00:00:00"/>
    <n v="132"/>
    <n v="115"/>
    <n v="17"/>
    <x v="2"/>
    <d v="2024-08-01T00:00:00"/>
    <x v="49"/>
    <n v="288880"/>
  </r>
  <r>
    <x v="1"/>
    <n v="33"/>
    <x v="5"/>
    <x v="5"/>
    <x v="0"/>
    <n v="1100"/>
    <d v="2024-12-04T00:00:00"/>
    <d v="2027-12-04T00:00:00"/>
    <n v="188"/>
    <n v="26"/>
    <n v="162"/>
    <x v="0"/>
    <d v="2024-12-07T00:00:00"/>
    <x v="50"/>
    <n v="28600"/>
  </r>
  <r>
    <x v="1"/>
    <n v="34"/>
    <x v="2"/>
    <x v="5"/>
    <x v="0"/>
    <n v="2913"/>
    <d v="2024-08-13T00:00:00"/>
    <d v="2027-08-13T00:00:00"/>
    <n v="60"/>
    <n v="49"/>
    <n v="11"/>
    <x v="2"/>
    <d v="2025-02-03T00:00:00"/>
    <x v="2"/>
    <n v="142737"/>
  </r>
  <r>
    <x v="2"/>
    <n v="1"/>
    <x v="8"/>
    <x v="4"/>
    <x v="4"/>
    <n v="2989"/>
    <d v="2024-10-26T00:00:00"/>
    <d v="2027-10-26T00:00:00"/>
    <n v="359"/>
    <n v="348"/>
    <n v="11"/>
    <x v="1"/>
    <d v="2025-01-13T00:00:00"/>
    <x v="51"/>
    <n v="1040172"/>
  </r>
  <r>
    <x v="2"/>
    <n v="2"/>
    <x v="3"/>
    <x v="5"/>
    <x v="3"/>
    <n v="1957"/>
    <d v="2024-12-18T00:00:00"/>
    <d v="2027-12-18T00:00:00"/>
    <n v="122"/>
    <n v="80"/>
    <n v="42"/>
    <x v="3"/>
    <d v="2025-01-09T00:00:00"/>
    <x v="31"/>
    <n v="156560"/>
  </r>
  <r>
    <x v="2"/>
    <n v="3"/>
    <x v="3"/>
    <x v="7"/>
    <x v="4"/>
    <n v="4904"/>
    <d v="2024-07-24T00:00:00"/>
    <d v="2027-07-24T00:00:00"/>
    <n v="291"/>
    <n v="190"/>
    <n v="101"/>
    <x v="2"/>
    <d v="2024-09-22T00:00:00"/>
    <x v="1"/>
    <n v="931760"/>
  </r>
  <r>
    <x v="2"/>
    <n v="4"/>
    <x v="3"/>
    <x v="8"/>
    <x v="2"/>
    <n v="4809"/>
    <d v="2024-10-04T00:00:00"/>
    <d v="2027-10-04T00:00:00"/>
    <n v="173"/>
    <n v="14"/>
    <n v="159"/>
    <x v="3"/>
    <d v="2025-02-08T00:00:00"/>
    <x v="44"/>
    <n v="67326"/>
  </r>
  <r>
    <x v="2"/>
    <n v="5"/>
    <x v="6"/>
    <x v="0"/>
    <x v="0"/>
    <n v="2348"/>
    <d v="2024-10-26T00:00:00"/>
    <d v="2027-10-26T00:00:00"/>
    <n v="61"/>
    <n v="0"/>
    <n v="61"/>
    <x v="2"/>
    <d v="2025-01-04T00:00:00"/>
    <x v="34"/>
    <n v="0"/>
  </r>
  <r>
    <x v="2"/>
    <n v="6"/>
    <x v="3"/>
    <x v="9"/>
    <x v="5"/>
    <n v="2572"/>
    <d v="2025-01-12T00:00:00"/>
    <d v="2028-01-12T00:00:00"/>
    <n v="209"/>
    <n v="72"/>
    <n v="137"/>
    <x v="1"/>
    <d v="2025-01-14T00:00:00"/>
    <x v="13"/>
    <n v="185184"/>
  </r>
  <r>
    <x v="2"/>
    <n v="7"/>
    <x v="5"/>
    <x v="8"/>
    <x v="1"/>
    <n v="3228"/>
    <d v="2024-05-21T00:00:00"/>
    <d v="2027-05-21T00:00:00"/>
    <n v="204"/>
    <n v="181"/>
    <n v="23"/>
    <x v="0"/>
    <d v="2024-09-08T00:00:00"/>
    <x v="52"/>
    <n v="584268"/>
  </r>
  <r>
    <x v="2"/>
    <n v="8"/>
    <x v="8"/>
    <x v="5"/>
    <x v="5"/>
    <n v="4359"/>
    <d v="2024-05-28T00:00:00"/>
    <d v="2027-05-28T00:00:00"/>
    <n v="225"/>
    <n v="17"/>
    <n v="208"/>
    <x v="1"/>
    <d v="2025-02-15T00:00:00"/>
    <x v="9"/>
    <n v="74103"/>
  </r>
  <r>
    <x v="2"/>
    <n v="9"/>
    <x v="3"/>
    <x v="8"/>
    <x v="1"/>
    <n v="2372"/>
    <d v="2024-10-06T00:00:00"/>
    <d v="2027-10-06T00:00:00"/>
    <n v="91"/>
    <n v="91"/>
    <n v="0"/>
    <x v="0"/>
    <d v="2024-12-10T00:00:00"/>
    <x v="53"/>
    <n v="215852"/>
  </r>
  <r>
    <x v="2"/>
    <n v="10"/>
    <x v="2"/>
    <x v="5"/>
    <x v="4"/>
    <n v="3078"/>
    <d v="2024-11-06T00:00:00"/>
    <d v="2027-11-06T00:00:00"/>
    <n v="199"/>
    <n v="1"/>
    <n v="198"/>
    <x v="4"/>
    <d v="2025-02-05T00:00:00"/>
    <x v="44"/>
    <n v="3078"/>
  </r>
  <r>
    <x v="2"/>
    <n v="11"/>
    <x v="1"/>
    <x v="0"/>
    <x v="4"/>
    <n v="915"/>
    <d v="2024-12-14T00:00:00"/>
    <d v="2027-12-14T00:00:00"/>
    <n v="250"/>
    <n v="0"/>
    <n v="250"/>
    <x v="3"/>
    <d v="2025-01-21T00:00:00"/>
    <x v="45"/>
    <n v="0"/>
  </r>
  <r>
    <x v="2"/>
    <n v="12"/>
    <x v="3"/>
    <x v="2"/>
    <x v="1"/>
    <n v="1405"/>
    <d v="2024-03-01T00:00:00"/>
    <d v="2027-03-01T00:00:00"/>
    <n v="117"/>
    <n v="10"/>
    <n v="107"/>
    <x v="1"/>
    <d v="2025-01-09T00:00:00"/>
    <x v="24"/>
    <n v="14050"/>
  </r>
  <r>
    <x v="2"/>
    <n v="13"/>
    <x v="4"/>
    <x v="8"/>
    <x v="3"/>
    <n v="2031"/>
    <d v="2025-01-01T00:00:00"/>
    <d v="2028-01-01T00:00:00"/>
    <n v="214"/>
    <n v="212"/>
    <n v="2"/>
    <x v="1"/>
    <d v="2025-01-24T00:00:00"/>
    <x v="34"/>
    <n v="430572"/>
  </r>
  <r>
    <x v="2"/>
    <n v="14"/>
    <x v="2"/>
    <x v="5"/>
    <x v="1"/>
    <n v="2774"/>
    <d v="2024-08-17T00:00:00"/>
    <d v="2027-08-17T00:00:00"/>
    <n v="131"/>
    <n v="7"/>
    <n v="124"/>
    <x v="1"/>
    <d v="2024-10-10T00:00:00"/>
    <x v="4"/>
    <n v="19418"/>
  </r>
  <r>
    <x v="2"/>
    <n v="15"/>
    <x v="9"/>
    <x v="1"/>
    <x v="1"/>
    <n v="2172"/>
    <d v="2024-12-11T00:00:00"/>
    <d v="2027-12-11T00:00:00"/>
    <n v="154"/>
    <n v="134"/>
    <n v="20"/>
    <x v="2"/>
    <d v="2025-02-08T00:00:00"/>
    <x v="46"/>
    <n v="291048"/>
  </r>
  <r>
    <x v="2"/>
    <n v="16"/>
    <x v="7"/>
    <x v="7"/>
    <x v="5"/>
    <n v="4642"/>
    <d v="2024-12-20T00:00:00"/>
    <d v="2027-12-20T00:00:00"/>
    <n v="168"/>
    <n v="71"/>
    <n v="97"/>
    <x v="3"/>
    <d v="2025-01-19T00:00:00"/>
    <x v="32"/>
    <n v="329582"/>
  </r>
  <r>
    <x v="2"/>
    <n v="17"/>
    <x v="4"/>
    <x v="7"/>
    <x v="2"/>
    <n v="2717"/>
    <d v="2024-10-28T00:00:00"/>
    <d v="2027-10-28T00:00:00"/>
    <n v="238"/>
    <n v="155"/>
    <n v="83"/>
    <x v="3"/>
    <d v="2025-01-21T00:00:00"/>
    <x v="20"/>
    <n v="421135"/>
  </r>
  <r>
    <x v="2"/>
    <n v="18"/>
    <x v="6"/>
    <x v="5"/>
    <x v="2"/>
    <n v="3336"/>
    <d v="2024-03-11T00:00:00"/>
    <d v="2027-03-11T00:00:00"/>
    <n v="146"/>
    <n v="130"/>
    <n v="16"/>
    <x v="0"/>
    <d v="2024-10-27T00:00:00"/>
    <x v="54"/>
    <n v="433680"/>
  </r>
  <r>
    <x v="2"/>
    <n v="19"/>
    <x v="9"/>
    <x v="9"/>
    <x v="3"/>
    <n v="3117"/>
    <d v="2024-03-11T00:00:00"/>
    <d v="2027-03-11T00:00:00"/>
    <n v="164"/>
    <n v="102"/>
    <n v="62"/>
    <x v="3"/>
    <d v="2024-03-26T00:00:00"/>
    <x v="44"/>
    <n v="317934"/>
  </r>
  <r>
    <x v="2"/>
    <n v="20"/>
    <x v="5"/>
    <x v="5"/>
    <x v="5"/>
    <n v="4308"/>
    <d v="2024-06-04T00:00:00"/>
    <d v="2027-06-04T00:00:00"/>
    <n v="136"/>
    <n v="89"/>
    <n v="47"/>
    <x v="0"/>
    <d v="2024-12-04T00:00:00"/>
    <x v="55"/>
    <n v="383412"/>
  </r>
  <r>
    <x v="2"/>
    <n v="21"/>
    <x v="1"/>
    <x v="1"/>
    <x v="2"/>
    <n v="2115"/>
    <d v="2024-08-10T00:00:00"/>
    <d v="2027-08-10T00:00:00"/>
    <n v="129"/>
    <n v="75"/>
    <n v="54"/>
    <x v="1"/>
    <d v="2025-01-14T00:00:00"/>
    <x v="39"/>
    <n v="158625"/>
  </r>
  <r>
    <x v="2"/>
    <n v="22"/>
    <x v="8"/>
    <x v="8"/>
    <x v="1"/>
    <n v="1676"/>
    <d v="2024-08-30T00:00:00"/>
    <d v="2027-08-30T00:00:00"/>
    <n v="228"/>
    <n v="46"/>
    <n v="182"/>
    <x v="3"/>
    <d v="2024-09-17T00:00:00"/>
    <x v="30"/>
    <n v="77096"/>
  </r>
  <r>
    <x v="2"/>
    <n v="23"/>
    <x v="3"/>
    <x v="2"/>
    <x v="3"/>
    <n v="1735"/>
    <d v="2025-02-13T00:00:00"/>
    <d v="2028-02-13T00:00:00"/>
    <n v="124"/>
    <n v="4"/>
    <n v="120"/>
    <x v="0"/>
    <d v="2025-02-16T00:00:00"/>
    <x v="19"/>
    <n v="6940"/>
  </r>
  <r>
    <x v="2"/>
    <n v="24"/>
    <x v="7"/>
    <x v="1"/>
    <x v="0"/>
    <n v="4588"/>
    <d v="2025-01-31T00:00:00"/>
    <d v="2028-01-31T00:00:00"/>
    <n v="112"/>
    <n v="97"/>
    <n v="15"/>
    <x v="0"/>
    <d v="2025-02-13T00:00:00"/>
    <x v="2"/>
    <n v="445036"/>
  </r>
  <r>
    <x v="2"/>
    <n v="25"/>
    <x v="4"/>
    <x v="2"/>
    <x v="2"/>
    <n v="4110"/>
    <d v="2024-03-28T00:00:00"/>
    <d v="2027-03-28T00:00:00"/>
    <n v="162"/>
    <n v="144"/>
    <n v="18"/>
    <x v="4"/>
    <d v="2025-01-10T00:00:00"/>
    <x v="56"/>
    <n v="591840"/>
  </r>
  <r>
    <x v="2"/>
    <n v="26"/>
    <x v="1"/>
    <x v="2"/>
    <x v="0"/>
    <n v="2005"/>
    <d v="2024-11-25T00:00:00"/>
    <d v="2027-11-25T00:00:00"/>
    <n v="141"/>
    <n v="125"/>
    <n v="16"/>
    <x v="2"/>
    <d v="2024-12-23T00:00:00"/>
    <x v="57"/>
    <n v="250625"/>
  </r>
  <r>
    <x v="2"/>
    <n v="27"/>
    <x v="0"/>
    <x v="1"/>
    <x v="1"/>
    <n v="2862"/>
    <d v="2024-11-16T00:00:00"/>
    <d v="2027-11-16T00:00:00"/>
    <n v="277"/>
    <n v="239"/>
    <n v="38"/>
    <x v="0"/>
    <d v="2025-01-03T00:00:00"/>
    <x v="57"/>
    <n v="684018"/>
  </r>
  <r>
    <x v="2"/>
    <n v="28"/>
    <x v="4"/>
    <x v="8"/>
    <x v="0"/>
    <n v="3898"/>
    <d v="2024-03-01T00:00:00"/>
    <d v="2027-03-01T00:00:00"/>
    <n v="282"/>
    <n v="53"/>
    <n v="229"/>
    <x v="4"/>
    <d v="2024-04-17T00:00:00"/>
    <x v="58"/>
    <n v="206594"/>
  </r>
  <r>
    <x v="2"/>
    <n v="29"/>
    <x v="4"/>
    <x v="6"/>
    <x v="3"/>
    <n v="3329"/>
    <d v="2024-07-16T00:00:00"/>
    <d v="2027-07-16T00:00:00"/>
    <n v="102"/>
    <n v="73"/>
    <n v="29"/>
    <x v="4"/>
    <d v="2024-12-19T00:00:00"/>
    <x v="2"/>
    <n v="243017"/>
  </r>
  <r>
    <x v="2"/>
    <n v="30"/>
    <x v="5"/>
    <x v="7"/>
    <x v="1"/>
    <n v="4411"/>
    <d v="2024-04-23T00:00:00"/>
    <d v="2027-04-23T00:00:00"/>
    <n v="160"/>
    <n v="110"/>
    <n v="50"/>
    <x v="3"/>
    <d v="2024-09-05T00:00:00"/>
    <x v="59"/>
    <n v="485210"/>
  </r>
  <r>
    <x v="2"/>
    <n v="31"/>
    <x v="4"/>
    <x v="3"/>
    <x v="5"/>
    <n v="3660"/>
    <d v="2025-01-23T00:00:00"/>
    <d v="2028-01-23T00:00:00"/>
    <n v="91"/>
    <n v="21"/>
    <n v="70"/>
    <x v="0"/>
    <d v="2025-01-29T00:00:00"/>
    <x v="32"/>
    <n v="76860"/>
  </r>
  <r>
    <x v="2"/>
    <n v="32"/>
    <x v="9"/>
    <x v="6"/>
    <x v="1"/>
    <n v="4107"/>
    <d v="2024-05-29T00:00:00"/>
    <d v="2027-05-29T00:00:00"/>
    <n v="244"/>
    <n v="127"/>
    <n v="117"/>
    <x v="0"/>
    <d v="2024-09-15T00:00:00"/>
    <x v="3"/>
    <n v="521589"/>
  </r>
  <r>
    <x v="2"/>
    <n v="33"/>
    <x v="5"/>
    <x v="4"/>
    <x v="3"/>
    <n v="3097"/>
    <d v="2024-12-01T00:00:00"/>
    <d v="2027-12-01T00:00:00"/>
    <n v="285"/>
    <n v="179"/>
    <n v="106"/>
    <x v="3"/>
    <d v="2025-01-08T00:00:00"/>
    <x v="6"/>
    <n v="554363"/>
  </r>
  <r>
    <x v="2"/>
    <n v="34"/>
    <x v="8"/>
    <x v="1"/>
    <x v="0"/>
    <n v="3344"/>
    <d v="2024-10-27T00:00:00"/>
    <d v="2027-10-27T00:00:00"/>
    <n v="127"/>
    <n v="6"/>
    <n v="121"/>
    <x v="1"/>
    <d v="2025-02-13T00:00:00"/>
    <x v="19"/>
    <n v="20064"/>
  </r>
  <r>
    <x v="3"/>
    <n v="1"/>
    <x v="7"/>
    <x v="5"/>
    <x v="3"/>
    <n v="1787"/>
    <d v="2024-06-30T00:00:00"/>
    <d v="2027-06-30T00:00:00"/>
    <n v="69"/>
    <n v="44"/>
    <n v="25"/>
    <x v="1"/>
    <d v="2024-09-06T00:00:00"/>
    <x v="60"/>
    <n v="78628"/>
  </r>
  <r>
    <x v="3"/>
    <n v="2"/>
    <x v="1"/>
    <x v="2"/>
    <x v="4"/>
    <n v="1010"/>
    <d v="2025-01-14T00:00:00"/>
    <d v="2028-01-14T00:00:00"/>
    <n v="144"/>
    <n v="27"/>
    <n v="117"/>
    <x v="2"/>
    <d v="2025-02-12T00:00:00"/>
    <x v="46"/>
    <n v="27270"/>
  </r>
  <r>
    <x v="3"/>
    <n v="3"/>
    <x v="9"/>
    <x v="8"/>
    <x v="1"/>
    <n v="3077"/>
    <d v="2025-02-04T00:00:00"/>
    <d v="2028-02-04T00:00:00"/>
    <n v="103"/>
    <n v="59"/>
    <n v="44"/>
    <x v="1"/>
    <d v="2025-02-05T00:00:00"/>
    <x v="47"/>
    <n v="181543"/>
  </r>
  <r>
    <x v="3"/>
    <n v="4"/>
    <x v="2"/>
    <x v="4"/>
    <x v="4"/>
    <n v="3396"/>
    <d v="2024-08-25T00:00:00"/>
    <d v="2027-08-25T00:00:00"/>
    <n v="235"/>
    <n v="192"/>
    <n v="43"/>
    <x v="2"/>
    <d v="2024-10-23T00:00:00"/>
    <x v="61"/>
    <n v="652032"/>
  </r>
  <r>
    <x v="3"/>
    <n v="5"/>
    <x v="9"/>
    <x v="9"/>
    <x v="2"/>
    <n v="3635"/>
    <d v="2025-02-09T00:00:00"/>
    <d v="2028-02-09T00:00:00"/>
    <n v="129"/>
    <n v="106"/>
    <n v="23"/>
    <x v="0"/>
    <d v="2025-02-14T00:00:00"/>
    <x v="46"/>
    <n v="385310"/>
  </r>
  <r>
    <x v="3"/>
    <n v="6"/>
    <x v="0"/>
    <x v="5"/>
    <x v="5"/>
    <n v="2282"/>
    <d v="2024-11-04T00:00:00"/>
    <d v="2027-11-04T00:00:00"/>
    <n v="207"/>
    <n v="2"/>
    <n v="205"/>
    <x v="0"/>
    <d v="2025-02-12T00:00:00"/>
    <x v="31"/>
    <n v="4564"/>
  </r>
  <r>
    <x v="3"/>
    <n v="7"/>
    <x v="0"/>
    <x v="8"/>
    <x v="1"/>
    <n v="1802"/>
    <d v="2024-11-23T00:00:00"/>
    <d v="2027-11-23T00:00:00"/>
    <n v="230"/>
    <n v="68"/>
    <n v="162"/>
    <x v="1"/>
    <d v="2024-11-30T00:00:00"/>
    <x v="62"/>
    <n v="122536"/>
  </r>
  <r>
    <x v="3"/>
    <n v="8"/>
    <x v="2"/>
    <x v="6"/>
    <x v="1"/>
    <n v="2376"/>
    <d v="2024-12-29T00:00:00"/>
    <d v="2027-12-29T00:00:00"/>
    <n v="257"/>
    <n v="108"/>
    <n v="149"/>
    <x v="2"/>
    <d v="2025-02-10T00:00:00"/>
    <x v="9"/>
    <n v="256608"/>
  </r>
  <r>
    <x v="3"/>
    <n v="9"/>
    <x v="0"/>
    <x v="6"/>
    <x v="5"/>
    <n v="4002"/>
    <d v="2024-06-02T00:00:00"/>
    <d v="2027-06-02T00:00:00"/>
    <n v="211"/>
    <n v="8"/>
    <n v="203"/>
    <x v="2"/>
    <d v="2025-01-19T00:00:00"/>
    <x v="9"/>
    <n v="32016"/>
  </r>
  <r>
    <x v="3"/>
    <n v="10"/>
    <x v="3"/>
    <x v="3"/>
    <x v="4"/>
    <n v="3837"/>
    <d v="2024-04-03T00:00:00"/>
    <d v="2027-04-03T00:00:00"/>
    <n v="230"/>
    <n v="123"/>
    <n v="107"/>
    <x v="0"/>
    <d v="2024-10-24T00:00:00"/>
    <x v="52"/>
    <n v="471951"/>
  </r>
  <r>
    <x v="3"/>
    <n v="11"/>
    <x v="2"/>
    <x v="4"/>
    <x v="4"/>
    <n v="1840"/>
    <d v="2024-10-07T00:00:00"/>
    <d v="2027-10-07T00:00:00"/>
    <n v="50"/>
    <n v="50"/>
    <n v="0"/>
    <x v="2"/>
    <d v="2024-10-08T00:00:00"/>
    <x v="63"/>
    <n v="92000"/>
  </r>
  <r>
    <x v="3"/>
    <n v="12"/>
    <x v="3"/>
    <x v="4"/>
    <x v="2"/>
    <n v="2578"/>
    <d v="2024-11-21T00:00:00"/>
    <d v="2027-11-21T00:00:00"/>
    <n v="107"/>
    <n v="29"/>
    <n v="78"/>
    <x v="3"/>
    <d v="2025-02-11T00:00:00"/>
    <x v="64"/>
    <n v="74762"/>
  </r>
  <r>
    <x v="3"/>
    <n v="13"/>
    <x v="8"/>
    <x v="6"/>
    <x v="0"/>
    <n v="2468"/>
    <d v="2024-12-14T00:00:00"/>
    <d v="2027-12-14T00:00:00"/>
    <n v="213"/>
    <n v="140"/>
    <n v="73"/>
    <x v="0"/>
    <d v="2025-02-17T00:00:00"/>
    <x v="44"/>
    <n v="345520"/>
  </r>
  <r>
    <x v="3"/>
    <n v="14"/>
    <x v="8"/>
    <x v="9"/>
    <x v="3"/>
    <n v="4559"/>
    <d v="2024-07-04T00:00:00"/>
    <d v="2027-07-04T00:00:00"/>
    <n v="159"/>
    <n v="150"/>
    <n v="9"/>
    <x v="1"/>
    <d v="2024-10-26T00:00:00"/>
    <x v="5"/>
    <n v="683850"/>
  </r>
  <r>
    <x v="3"/>
    <n v="15"/>
    <x v="0"/>
    <x v="3"/>
    <x v="4"/>
    <n v="3480"/>
    <d v="2024-08-02T00:00:00"/>
    <d v="2027-08-02T00:00:00"/>
    <n v="285"/>
    <n v="110"/>
    <n v="175"/>
    <x v="1"/>
    <d v="2024-12-05T00:00:00"/>
    <x v="33"/>
    <n v="382800"/>
  </r>
  <r>
    <x v="3"/>
    <n v="16"/>
    <x v="5"/>
    <x v="3"/>
    <x v="5"/>
    <n v="1531"/>
    <d v="2024-09-04T00:00:00"/>
    <d v="2027-09-04T00:00:00"/>
    <n v="278"/>
    <n v="97"/>
    <n v="181"/>
    <x v="0"/>
    <d v="2024-12-13T00:00:00"/>
    <x v="18"/>
    <n v="148507"/>
  </r>
  <r>
    <x v="3"/>
    <n v="17"/>
    <x v="0"/>
    <x v="9"/>
    <x v="4"/>
    <n v="1868"/>
    <d v="2025-01-10T00:00:00"/>
    <d v="2028-01-10T00:00:00"/>
    <n v="225"/>
    <n v="118"/>
    <n v="107"/>
    <x v="3"/>
    <d v="2025-01-10T00:00:00"/>
    <x v="12"/>
    <n v="220424"/>
  </r>
  <r>
    <x v="3"/>
    <n v="18"/>
    <x v="8"/>
    <x v="3"/>
    <x v="4"/>
    <n v="4894"/>
    <d v="2024-11-30T00:00:00"/>
    <d v="2027-11-30T00:00:00"/>
    <n v="268"/>
    <n v="24"/>
    <n v="244"/>
    <x v="3"/>
    <d v="2024-12-27T00:00:00"/>
    <x v="65"/>
    <n v="117456"/>
  </r>
  <r>
    <x v="3"/>
    <n v="19"/>
    <x v="9"/>
    <x v="3"/>
    <x v="1"/>
    <n v="3856"/>
    <d v="2024-07-12T00:00:00"/>
    <d v="2027-07-12T00:00:00"/>
    <n v="90"/>
    <n v="14"/>
    <n v="76"/>
    <x v="2"/>
    <d v="2024-11-03T00:00:00"/>
    <x v="66"/>
    <n v="53984"/>
  </r>
  <r>
    <x v="3"/>
    <n v="20"/>
    <x v="5"/>
    <x v="6"/>
    <x v="4"/>
    <n v="4695"/>
    <d v="2025-01-30T00:00:00"/>
    <d v="2028-01-30T00:00:00"/>
    <n v="129"/>
    <n v="50"/>
    <n v="79"/>
    <x v="4"/>
    <d v="2025-02-15T00:00:00"/>
    <x v="2"/>
    <n v="234750"/>
  </r>
  <r>
    <x v="3"/>
    <n v="21"/>
    <x v="6"/>
    <x v="1"/>
    <x v="2"/>
    <n v="3634"/>
    <d v="2024-10-10T00:00:00"/>
    <d v="2027-10-10T00:00:00"/>
    <n v="153"/>
    <n v="141"/>
    <n v="12"/>
    <x v="4"/>
    <d v="2024-12-25T00:00:00"/>
    <x v="46"/>
    <n v="512394"/>
  </r>
  <r>
    <x v="3"/>
    <n v="22"/>
    <x v="7"/>
    <x v="6"/>
    <x v="4"/>
    <n v="967"/>
    <d v="2024-07-14T00:00:00"/>
    <d v="2027-07-14T00:00:00"/>
    <n v="250"/>
    <n v="205"/>
    <n v="45"/>
    <x v="3"/>
    <d v="2024-12-31T00:00:00"/>
    <x v="20"/>
    <n v="198235"/>
  </r>
  <r>
    <x v="3"/>
    <n v="23"/>
    <x v="5"/>
    <x v="1"/>
    <x v="5"/>
    <n v="4150"/>
    <d v="2024-04-25T00:00:00"/>
    <d v="2027-04-25T00:00:00"/>
    <n v="223"/>
    <n v="223"/>
    <n v="0"/>
    <x v="2"/>
    <d v="2024-06-29T00:00:00"/>
    <x v="67"/>
    <n v="925450"/>
  </r>
  <r>
    <x v="3"/>
    <n v="24"/>
    <x v="1"/>
    <x v="2"/>
    <x v="5"/>
    <n v="1985"/>
    <d v="2024-04-30T00:00:00"/>
    <d v="2027-04-30T00:00:00"/>
    <n v="157"/>
    <n v="18"/>
    <n v="139"/>
    <x v="1"/>
    <d v="2024-05-11T00:00:00"/>
    <x v="68"/>
    <n v="35730"/>
  </r>
  <r>
    <x v="3"/>
    <n v="25"/>
    <x v="9"/>
    <x v="2"/>
    <x v="5"/>
    <n v="1134"/>
    <d v="2024-11-20T00:00:00"/>
    <d v="2027-11-20T00:00:00"/>
    <n v="170"/>
    <n v="50"/>
    <n v="120"/>
    <x v="3"/>
    <d v="2025-02-14T00:00:00"/>
    <x v="44"/>
    <n v="56700"/>
  </r>
  <r>
    <x v="3"/>
    <n v="26"/>
    <x v="6"/>
    <x v="3"/>
    <x v="5"/>
    <n v="3551"/>
    <d v="2024-06-05T00:00:00"/>
    <d v="2027-06-05T00:00:00"/>
    <n v="267"/>
    <n v="203"/>
    <n v="64"/>
    <x v="4"/>
    <d v="2024-07-10T00:00:00"/>
    <x v="69"/>
    <n v="720853"/>
  </r>
  <r>
    <x v="3"/>
    <n v="27"/>
    <x v="0"/>
    <x v="9"/>
    <x v="1"/>
    <n v="2887"/>
    <d v="2024-12-10T00:00:00"/>
    <d v="2027-12-10T00:00:00"/>
    <n v="88"/>
    <n v="40"/>
    <n v="48"/>
    <x v="4"/>
    <d v="2025-01-27T00:00:00"/>
    <x v="18"/>
    <n v="115480"/>
  </r>
  <r>
    <x v="3"/>
    <n v="28"/>
    <x v="0"/>
    <x v="9"/>
    <x v="5"/>
    <n v="2359"/>
    <d v="2024-09-14T00:00:00"/>
    <d v="2027-09-14T00:00:00"/>
    <n v="117"/>
    <n v="108"/>
    <n v="9"/>
    <x v="1"/>
    <d v="2024-12-19T00:00:00"/>
    <x v="12"/>
    <n v="254772"/>
  </r>
  <r>
    <x v="3"/>
    <n v="29"/>
    <x v="6"/>
    <x v="5"/>
    <x v="2"/>
    <n v="3750"/>
    <d v="2024-11-22T00:00:00"/>
    <d v="2027-11-22T00:00:00"/>
    <n v="84"/>
    <n v="70"/>
    <n v="14"/>
    <x v="1"/>
    <d v="2024-12-31T00:00:00"/>
    <x v="60"/>
    <n v="262500"/>
  </r>
  <r>
    <x v="3"/>
    <n v="30"/>
    <x v="7"/>
    <x v="3"/>
    <x v="0"/>
    <n v="1682"/>
    <d v="2024-10-08T00:00:00"/>
    <d v="2027-10-08T00:00:00"/>
    <n v="279"/>
    <n v="112"/>
    <n v="167"/>
    <x v="0"/>
    <d v="2025-01-28T00:00:00"/>
    <x v="47"/>
    <n v="188384"/>
  </r>
  <r>
    <x v="3"/>
    <n v="31"/>
    <x v="4"/>
    <x v="2"/>
    <x v="4"/>
    <n v="1096"/>
    <d v="2024-12-27T00:00:00"/>
    <d v="2027-12-27T00:00:00"/>
    <n v="86"/>
    <n v="19"/>
    <n v="67"/>
    <x v="2"/>
    <d v="2025-01-16T00:00:00"/>
    <x v="70"/>
    <n v="20824"/>
  </r>
  <r>
    <x v="3"/>
    <n v="32"/>
    <x v="7"/>
    <x v="8"/>
    <x v="2"/>
    <n v="1105"/>
    <d v="2024-12-17T00:00:00"/>
    <d v="2027-12-17T00:00:00"/>
    <n v="246"/>
    <n v="122"/>
    <n v="124"/>
    <x v="0"/>
    <d v="2025-02-11T00:00:00"/>
    <x v="64"/>
    <n v="134810"/>
  </r>
  <r>
    <x v="3"/>
    <n v="33"/>
    <x v="0"/>
    <x v="4"/>
    <x v="0"/>
    <n v="3336"/>
    <d v="2024-12-07T00:00:00"/>
    <d v="2027-12-07T00:00:00"/>
    <n v="95"/>
    <n v="91"/>
    <n v="4"/>
    <x v="1"/>
    <d v="2025-01-04T00:00:00"/>
    <x v="45"/>
    <n v="303576"/>
  </r>
  <r>
    <x v="3"/>
    <n v="34"/>
    <x v="8"/>
    <x v="0"/>
    <x v="4"/>
    <n v="1545"/>
    <d v="2024-05-15T00:00:00"/>
    <d v="2027-05-15T00:00:00"/>
    <n v="257"/>
    <n v="18"/>
    <n v="239"/>
    <x v="1"/>
    <d v="2024-05-28T00:00:00"/>
    <x v="71"/>
    <n v="278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6C03E-E214-42A4-A339-380D38740B07}" name="Сводная таблица5" cacheId="4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6" indent="0" outline="1" outlineData="1" multipleFieldFilters="0" fieldListSortAscending="1">
  <location ref="A41:B46" firstHeaderRow="1" firstDataRow="1" firstDataCol="1"/>
  <pivotFields count="15"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3">
        <item x="58"/>
        <item x="71"/>
        <item x="15"/>
        <item x="26"/>
        <item x="43"/>
        <item x="25"/>
        <item x="23"/>
        <item x="49"/>
        <item x="69"/>
        <item x="59"/>
        <item x="29"/>
        <item x="10"/>
        <item x="40"/>
        <item x="0"/>
        <item x="17"/>
        <item x="61"/>
        <item x="35"/>
        <item x="16"/>
        <item x="48"/>
        <item x="66"/>
        <item x="54"/>
        <item x="63"/>
        <item x="30"/>
        <item x="1"/>
        <item x="62"/>
        <item x="68"/>
        <item x="55"/>
        <item x="36"/>
        <item x="53"/>
        <item x="37"/>
        <item x="21"/>
        <item x="28"/>
        <item x="27"/>
        <item x="3"/>
        <item x="41"/>
        <item x="42"/>
        <item x="52"/>
        <item x="14"/>
        <item x="24"/>
        <item x="67"/>
        <item x="33"/>
        <item x="56"/>
        <item x="22"/>
        <item x="57"/>
        <item x="65"/>
        <item x="6"/>
        <item x="45"/>
        <item x="4"/>
        <item x="11"/>
        <item x="51"/>
        <item x="60"/>
        <item x="39"/>
        <item x="50"/>
        <item x="7"/>
        <item x="5"/>
        <item x="18"/>
        <item x="38"/>
        <item x="8"/>
        <item x="20"/>
        <item x="12"/>
        <item x="13"/>
        <item x="47"/>
        <item x="32"/>
        <item x="34"/>
        <item x="64"/>
        <item x="31"/>
        <item x="70"/>
        <item x="46"/>
        <item x="2"/>
        <item x="9"/>
        <item x="19"/>
        <item x="44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Прибыль" fld="14" baseField="0" baseItem="0"/>
  </dataFields>
  <pivotTableStyleInfo name="PivotStyleLight16" showRowHeaders="1" showColHeaders="1" showRowStripes="0" showColStripes="0" showLastColumn="1"/>
  <filters count="1">
    <filter fld="13" type="dateBetween" evalOrder="-1" id="8" name="Дата продажи">
      <autoFilter ref="A1">
        <filterColumn colId="0">
          <customFilters and="1">
            <customFilter operator="greaterThanOrEqual" val="45627"/>
            <customFilter operator="lessThanOrEqual" val="4568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E2DEB-7F6A-4769-9FB9-1798D3BA87DC}" name="Сводная таблица4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fieldListSortAscending="1">
  <location ref="A20:G22" firstHeaderRow="1" firstDataRow="2" firstDataCol="1"/>
  <pivotFields count="15">
    <pivotField showAll="0"/>
    <pivotField showAll="0"/>
    <pivotField showAll="0"/>
    <pivotField axis="axisCol" showAll="0" measureFilter="1">
      <items count="11">
        <item x="1"/>
        <item x="0"/>
        <item x="9"/>
        <item x="2"/>
        <item x="8"/>
        <item x="6"/>
        <item x="4"/>
        <item x="7"/>
        <item x="3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6">
    <i>
      <x v="3"/>
    </i>
    <i>
      <x v="4"/>
    </i>
    <i>
      <x v="6"/>
    </i>
    <i>
      <x v="8"/>
    </i>
    <i>
      <x v="9"/>
    </i>
    <i t="grand">
      <x/>
    </i>
  </colItems>
  <dataFields count="1">
    <dataField name="Сумма по полю Кол-во проданных товаров" fld="9" baseField="0" baseItem="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5BE79-2951-4E60-8FEE-D2FB85E49551}" name="Сводная таблица2" cacheId="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fieldListSortAscending="1">
  <location ref="A1:C16" firstHeaderRow="1" firstDataRow="2" firstDataCol="1"/>
  <pivotFields count="15"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axis="axisCol" showAll="0">
      <items count="11">
        <item h="1" x="6"/>
        <item h="1" x="4"/>
        <item h="1" x="9"/>
        <item x="8"/>
        <item h="1" x="3"/>
        <item h="1" x="0"/>
        <item h="1" x="1"/>
        <item h="1" x="2"/>
        <item h="1" x="5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/>
    <pivotField showAll="0"/>
  </pivotFields>
  <rowFields count="2">
    <field x="0"/>
    <field x="11"/>
  </rowFields>
  <rowItems count="14">
    <i>
      <x/>
    </i>
    <i r="1">
      <x/>
    </i>
    <i r="1">
      <x v="1"/>
    </i>
    <i>
      <x v="1"/>
    </i>
    <i r="1">
      <x/>
    </i>
    <i r="1">
      <x v="1"/>
    </i>
    <i r="1">
      <x v="2"/>
    </i>
    <i r="1">
      <x v="3"/>
    </i>
    <i>
      <x v="2"/>
    </i>
    <i r="1">
      <x v="2"/>
    </i>
    <i>
      <x v="3"/>
    </i>
    <i r="1">
      <x v="3"/>
    </i>
    <i r="1">
      <x v="4"/>
    </i>
    <i t="grand">
      <x/>
    </i>
  </rowItems>
  <colFields count="1">
    <field x="3"/>
  </colFields>
  <colItems count="2">
    <i>
      <x v="3"/>
    </i>
    <i t="grand">
      <x/>
    </i>
  </colItems>
  <dataFields count="1">
    <dataField name="Сумма по полю Кол-во проданных товаров" fld="9" baseField="0" baseItem="0"/>
  </dataFields>
  <chartFormats count="11">
    <chartFormat chart="0" format="2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0" format="9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0" format="10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0" format="11" series="1">
      <pivotArea type="data" outline="0" fieldPosition="0">
        <references count="1">
          <reference field="3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ата_продажи1" xr10:uid="{1A62B298-7277-4A32-A11D-07945ED1E296}" sourceName="Дата продажи">
  <state minimalRefreshVersion="6" lastRefreshVersion="6" pivotCacheId="30493271" filterType="dateBetween">
    <selection startDate="2024-12-01T00:00:00" endDate="2025-01-31T00:00:00"/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 продажи 1" xr10:uid="{E51B148D-E3C3-4AB7-972B-0A5862D9B040}" cache="ВстроеннаяВременнаяШкала_Дата_продажи1" caption="Дата продажи" level="2" selectionLevel="2" scrollPosition="2024-09-16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zoomScale="80" zoomScaleNormal="80" workbookViewId="0">
      <selection activeCell="J28" sqref="J28"/>
    </sheetView>
  </sheetViews>
  <sheetFormatPr defaultRowHeight="14.4" x14ac:dyDescent="0.3"/>
  <cols>
    <col min="1" max="1" width="8.6640625" style="1" customWidth="1"/>
    <col min="2" max="4" width="23.6640625" customWidth="1"/>
    <col min="5" max="5" width="12.6640625" customWidth="1"/>
    <col min="6" max="6" width="13.6640625" customWidth="1"/>
    <col min="7" max="7" width="17.44140625" customWidth="1"/>
    <col min="8" max="13" width="12.6640625" customWidth="1"/>
    <col min="14" max="15" width="14.6640625" customWidth="1"/>
  </cols>
  <sheetData>
    <row r="1" spans="1:15" ht="15" customHeight="1" x14ac:dyDescent="0.3">
      <c r="A1" s="32" t="s">
        <v>8</v>
      </c>
      <c r="B1" s="34" t="s">
        <v>4</v>
      </c>
      <c r="C1" s="34" t="s">
        <v>5</v>
      </c>
      <c r="D1" s="34" t="s">
        <v>6</v>
      </c>
      <c r="E1" s="34" t="s">
        <v>0</v>
      </c>
      <c r="F1" s="40" t="s">
        <v>34</v>
      </c>
      <c r="G1" s="38" t="s">
        <v>7</v>
      </c>
      <c r="H1" s="42" t="s">
        <v>35</v>
      </c>
      <c r="I1" s="42" t="s">
        <v>36</v>
      </c>
      <c r="J1" s="42" t="s">
        <v>37</v>
      </c>
      <c r="K1" s="34" t="s">
        <v>1</v>
      </c>
      <c r="L1" s="34" t="s">
        <v>2</v>
      </c>
      <c r="M1" s="36" t="s">
        <v>3</v>
      </c>
      <c r="N1" s="30" t="s">
        <v>38</v>
      </c>
    </row>
    <row r="2" spans="1:15" ht="15.75" customHeight="1" thickBot="1" x14ac:dyDescent="0.35">
      <c r="A2" s="33"/>
      <c r="B2" s="35"/>
      <c r="C2" s="35"/>
      <c r="D2" s="35"/>
      <c r="E2" s="35"/>
      <c r="F2" s="41"/>
      <c r="G2" s="39"/>
      <c r="H2" s="43"/>
      <c r="I2" s="43"/>
      <c r="J2" s="43"/>
      <c r="K2" s="35"/>
      <c r="L2" s="35"/>
      <c r="M2" s="37"/>
      <c r="N2" s="31"/>
      <c r="O2" s="1"/>
    </row>
    <row r="3" spans="1:15" x14ac:dyDescent="0.3">
      <c r="A3" s="9">
        <v>1</v>
      </c>
      <c r="B3" s="11" t="str">
        <f ca="1">INDEX(Данные!$A$1:$A$10, RANDBETWEEN(1,10))</f>
        <v>Vichy</v>
      </c>
      <c r="C3" s="10" t="str">
        <f ca="1">INDEX(Данные!$B$1:$B$10, RANDBETWEEN(1,10))</f>
        <v>скульптор</v>
      </c>
      <c r="D3" s="25">
        <f ca="1">INDEX(Данные!$C$1:$C$6, RANDBETWEEN(1,6))</f>
        <v>50</v>
      </c>
      <c r="E3" s="10">
        <f ca="1">RANDBETWEEN(600,5000)</f>
        <v>2080</v>
      </c>
      <c r="F3" s="12">
        <f ca="1">RANDBETWEEN(DATE(2024,2,15),DATE(2025,2,15))</f>
        <v>45510</v>
      </c>
      <c r="G3" s="13">
        <f ca="1">F3+365*3</f>
        <v>46605</v>
      </c>
      <c r="H3" s="10">
        <f ca="1">RANDBETWEEN(50,500)</f>
        <v>388</v>
      </c>
      <c r="I3" s="10">
        <f ca="1">H3-J3</f>
        <v>184</v>
      </c>
      <c r="J3" s="10">
        <f ca="1">RANDBETWEEN(0,H3)</f>
        <v>204</v>
      </c>
      <c r="K3" s="10" t="str">
        <f ca="1">INDEX(Данные!$D$1:$D$5, RANDBETWEEN(1,5))</f>
        <v>мир красоты</v>
      </c>
      <c r="L3" s="13">
        <f ca="1">RANDBETWEEN(F3,DATE(2025,2,19))</f>
        <v>45528</v>
      </c>
      <c r="M3" s="26">
        <f ca="1">RANDBETWEEN(L3,DATE(2025,2,19))</f>
        <v>45654</v>
      </c>
      <c r="N3" s="27">
        <f ca="1">E3*I3</f>
        <v>382720</v>
      </c>
    </row>
    <row r="4" spans="1:15" x14ac:dyDescent="0.3">
      <c r="A4" s="4">
        <v>2</v>
      </c>
      <c r="B4" s="3" t="str">
        <f ca="1">INDEX(Данные!$A$1:$A$10, RANDBETWEEN(1,10))</f>
        <v>Kiko</v>
      </c>
      <c r="C4" s="19" t="str">
        <f ca="1">INDEX(Данные!$B$1:$B$10, RANDBETWEEN(1,10))</f>
        <v>пенка для умывания</v>
      </c>
      <c r="D4" s="18">
        <f ca="1">INDEX(Данные!$C$1:$C$6, RANDBETWEEN(1,6))</f>
        <v>50</v>
      </c>
      <c r="E4" s="2">
        <f t="shared" ref="E4:E36" ca="1" si="0">RANDBETWEEN(600,5000)</f>
        <v>1768</v>
      </c>
      <c r="F4" s="8">
        <f t="shared" ref="F4:F36" ca="1" si="1">RANDBETWEEN(DATE(2024,2,15),DATE(2025,2,15))</f>
        <v>45676</v>
      </c>
      <c r="G4" s="7">
        <f t="shared" ref="G4:G36" ca="1" si="2">F4+365*3</f>
        <v>46771</v>
      </c>
      <c r="H4" s="2">
        <f ca="1">RANDBETWEEN(50,300)</f>
        <v>255</v>
      </c>
      <c r="I4" s="2">
        <f t="shared" ref="I4:I36" ca="1" si="3">H4-J4</f>
        <v>170</v>
      </c>
      <c r="J4" s="2">
        <f ca="1">RANDBETWEEN(0,H4)</f>
        <v>85</v>
      </c>
      <c r="K4" s="2" t="str">
        <f ca="1">INDEX(Данные!$D$1:$D$5, RANDBETWEEN(1,5))</f>
        <v>мир красоты</v>
      </c>
      <c r="L4" s="7">
        <f t="shared" ref="L4:L36" ca="1" si="4">RANDBETWEEN(F4,DATE(2025,2,19))</f>
        <v>45689</v>
      </c>
      <c r="M4" s="23">
        <f t="shared" ref="M4:M36" ca="1" si="5">RANDBETWEEN(L4,DATE(2025,2,19))</f>
        <v>45705</v>
      </c>
      <c r="N4" s="28">
        <f t="shared" ref="N4:N36" ca="1" si="6">E4*I4</f>
        <v>300560</v>
      </c>
    </row>
    <row r="5" spans="1:15" x14ac:dyDescent="0.3">
      <c r="A5" s="4">
        <v>3</v>
      </c>
      <c r="B5" s="3" t="str">
        <f ca="1">INDEX(Данные!$A$1:$A$10, RANDBETWEEN(1,10))</f>
        <v>Loreal Paris</v>
      </c>
      <c r="C5" s="19" t="str">
        <f ca="1">INDEX(Данные!$B$1:$B$10, RANDBETWEEN(1,10))</f>
        <v>тональная основа</v>
      </c>
      <c r="D5" s="18">
        <f ca="1">INDEX(Данные!$C$1:$C$6, RANDBETWEEN(1,6))</f>
        <v>10</v>
      </c>
      <c r="E5" s="2">
        <f t="shared" ca="1" si="0"/>
        <v>4340</v>
      </c>
      <c r="F5" s="8">
        <f t="shared" ca="1" si="1"/>
        <v>45514</v>
      </c>
      <c r="G5" s="7">
        <f t="shared" ca="1" si="2"/>
        <v>46609</v>
      </c>
      <c r="H5" s="2">
        <f t="shared" ref="H5:H36" ca="1" si="7">RANDBETWEEN(50,300)</f>
        <v>73</v>
      </c>
      <c r="I5" s="2">
        <f t="shared" ca="1" si="3"/>
        <v>5</v>
      </c>
      <c r="J5" s="2">
        <f ca="1">RANDBETWEEN(0,H5)</f>
        <v>68</v>
      </c>
      <c r="K5" s="2" t="str">
        <f ca="1">INDEX(Данные!$D$1:$D$5, RANDBETWEEN(1,5))</f>
        <v>ИП Иванова</v>
      </c>
      <c r="L5" s="7">
        <f t="shared" ca="1" si="4"/>
        <v>45664</v>
      </c>
      <c r="M5" s="23">
        <f t="shared" ca="1" si="5"/>
        <v>45677</v>
      </c>
      <c r="N5" s="28">
        <f t="shared" ca="1" si="6"/>
        <v>21700</v>
      </c>
    </row>
    <row r="6" spans="1:15" x14ac:dyDescent="0.3">
      <c r="A6" s="4">
        <v>4</v>
      </c>
      <c r="B6" s="3" t="str">
        <f ca="1">INDEX(Данные!$A$1:$A$10, RANDBETWEEN(1,10))</f>
        <v>Clinique</v>
      </c>
      <c r="C6" s="19" t="str">
        <f ca="1">INDEX(Данные!$B$1:$B$10, RANDBETWEEN(1,10))</f>
        <v>тушь</v>
      </c>
      <c r="D6" s="18">
        <f ca="1">INDEX(Данные!$C$1:$C$6, RANDBETWEEN(1,6))</f>
        <v>30</v>
      </c>
      <c r="E6" s="2">
        <f t="shared" ca="1" si="0"/>
        <v>4727</v>
      </c>
      <c r="F6" s="8">
        <f t="shared" ca="1" si="1"/>
        <v>45448</v>
      </c>
      <c r="G6" s="7">
        <f t="shared" ca="1" si="2"/>
        <v>46543</v>
      </c>
      <c r="H6" s="2">
        <f t="shared" ca="1" si="7"/>
        <v>243</v>
      </c>
      <c r="I6" s="2">
        <f t="shared" ca="1" si="3"/>
        <v>129</v>
      </c>
      <c r="J6" s="2">
        <f t="shared" ref="J6:J36" ca="1" si="8">RANDBETWEEN(0,H6)</f>
        <v>114</v>
      </c>
      <c r="K6" s="2" t="str">
        <f ca="1">INDEX(Данные!$D$1:$D$5, RANDBETWEEN(1,5))</f>
        <v>мир красоты</v>
      </c>
      <c r="L6" s="7">
        <f t="shared" ca="1" si="4"/>
        <v>45581</v>
      </c>
      <c r="M6" s="23">
        <f t="shared" ca="1" si="5"/>
        <v>45597</v>
      </c>
      <c r="N6" s="28">
        <f t="shared" ca="1" si="6"/>
        <v>609783</v>
      </c>
    </row>
    <row r="7" spans="1:15" x14ac:dyDescent="0.3">
      <c r="A7" s="4">
        <v>5</v>
      </c>
      <c r="B7" s="3" t="str">
        <f ca="1">INDEX(Данные!$A$1:$A$10, RANDBETWEEN(1,10))</f>
        <v>CeraVe</v>
      </c>
      <c r="C7" s="19" t="str">
        <f ca="1">INDEX(Данные!$B$1:$B$10, RANDBETWEEN(1,10))</f>
        <v>блеск для губ</v>
      </c>
      <c r="D7" s="18">
        <f ca="1">INDEX(Данные!$C$1:$C$6, RANDBETWEEN(1,6))</f>
        <v>15</v>
      </c>
      <c r="E7" s="2">
        <f t="shared" ca="1" si="0"/>
        <v>2781</v>
      </c>
      <c r="F7" s="8">
        <f t="shared" ca="1" si="1"/>
        <v>45381</v>
      </c>
      <c r="G7" s="7">
        <f t="shared" ca="1" si="2"/>
        <v>46476</v>
      </c>
      <c r="H7" s="2">
        <f t="shared" ca="1" si="7"/>
        <v>160</v>
      </c>
      <c r="I7" s="2">
        <f t="shared" ca="1" si="3"/>
        <v>82</v>
      </c>
      <c r="J7" s="2">
        <f t="shared" ca="1" si="8"/>
        <v>78</v>
      </c>
      <c r="K7" s="2" t="str">
        <f ca="1">INDEX(Данные!$D$1:$D$5, RANDBETWEEN(1,5))</f>
        <v>Соландра косметикс</v>
      </c>
      <c r="L7" s="7">
        <f t="shared" ca="1" si="4"/>
        <v>45555</v>
      </c>
      <c r="M7" s="23">
        <f t="shared" ca="1" si="5"/>
        <v>45618</v>
      </c>
      <c r="N7" s="28">
        <f t="shared" ca="1" si="6"/>
        <v>228042</v>
      </c>
    </row>
    <row r="8" spans="1:15" x14ac:dyDescent="0.3">
      <c r="A8" s="4">
        <v>6</v>
      </c>
      <c r="B8" s="3" t="str">
        <f ca="1">INDEX(Данные!$A$1:$A$10, RANDBETWEEN(1,10))</f>
        <v>CeraVe</v>
      </c>
      <c r="C8" s="19" t="str">
        <f ca="1">INDEX(Данные!$B$1:$B$10, RANDBETWEEN(1,10))</f>
        <v>блеск для губ</v>
      </c>
      <c r="D8" s="18">
        <f ca="1">INDEX(Данные!$C$1:$C$6, RANDBETWEEN(1,6))</f>
        <v>20</v>
      </c>
      <c r="E8" s="2">
        <f t="shared" ca="1" si="0"/>
        <v>4629</v>
      </c>
      <c r="F8" s="8">
        <f t="shared" ca="1" si="1"/>
        <v>45484</v>
      </c>
      <c r="G8" s="7">
        <f t="shared" ca="1" si="2"/>
        <v>46579</v>
      </c>
      <c r="H8" s="2">
        <f t="shared" ca="1" si="7"/>
        <v>141</v>
      </c>
      <c r="I8" s="2">
        <f t="shared" ca="1" si="3"/>
        <v>117</v>
      </c>
      <c r="J8" s="2">
        <f t="shared" ca="1" si="8"/>
        <v>24</v>
      </c>
      <c r="K8" s="2" t="str">
        <f ca="1">INDEX(Данные!$D$1:$D$5, RANDBETWEEN(1,5))</f>
        <v>ИП Иванова</v>
      </c>
      <c r="L8" s="7">
        <f t="shared" ca="1" si="4"/>
        <v>45617</v>
      </c>
      <c r="M8" s="23">
        <f t="shared" ca="1" si="5"/>
        <v>45632</v>
      </c>
      <c r="N8" s="28">
        <f t="shared" ca="1" si="6"/>
        <v>541593</v>
      </c>
    </row>
    <row r="9" spans="1:15" x14ac:dyDescent="0.3">
      <c r="A9" s="4">
        <v>7</v>
      </c>
      <c r="B9" s="3" t="str">
        <f ca="1">INDEX(Данные!$A$1:$A$10, RANDBETWEEN(1,10))</f>
        <v>Clinique</v>
      </c>
      <c r="C9" s="19" t="str">
        <f ca="1">INDEX(Данные!$B$1:$B$10, RANDBETWEEN(1,10))</f>
        <v>скульптор</v>
      </c>
      <c r="D9" s="18">
        <f ca="1">INDEX(Данные!$C$1:$C$6, RANDBETWEEN(1,6))</f>
        <v>10</v>
      </c>
      <c r="E9" s="2">
        <f t="shared" ca="1" si="0"/>
        <v>1957</v>
      </c>
      <c r="F9" s="8">
        <f t="shared" ca="1" si="1"/>
        <v>45489</v>
      </c>
      <c r="G9" s="7">
        <f t="shared" ca="1" si="2"/>
        <v>46584</v>
      </c>
      <c r="H9" s="2">
        <f t="shared" ca="1" si="7"/>
        <v>54</v>
      </c>
      <c r="I9" s="2">
        <f t="shared" ca="1" si="3"/>
        <v>22</v>
      </c>
      <c r="J9" s="2">
        <f t="shared" ca="1" si="8"/>
        <v>32</v>
      </c>
      <c r="K9" s="2" t="str">
        <f ca="1">INDEX(Данные!$D$1:$D$5, RANDBETWEEN(1,5))</f>
        <v>ИП Иванова</v>
      </c>
      <c r="L9" s="7">
        <f t="shared" ca="1" si="4"/>
        <v>45637</v>
      </c>
      <c r="M9" s="23">
        <f t="shared" ca="1" si="5"/>
        <v>45664</v>
      </c>
      <c r="N9" s="28">
        <f t="shared" ca="1" si="6"/>
        <v>43054</v>
      </c>
    </row>
    <row r="10" spans="1:15" x14ac:dyDescent="0.3">
      <c r="A10" s="4">
        <v>8</v>
      </c>
      <c r="B10" s="3" t="str">
        <f ca="1">INDEX(Данные!$A$1:$A$10, RANDBETWEEN(1,10))</f>
        <v>CeraVe</v>
      </c>
      <c r="C10" s="19" t="str">
        <f ca="1">INDEX(Данные!$B$1:$B$10, RANDBETWEEN(1,10))</f>
        <v>помада</v>
      </c>
      <c r="D10" s="18">
        <f ca="1">INDEX(Данные!$C$1:$C$6, RANDBETWEEN(1,6))</f>
        <v>20</v>
      </c>
      <c r="E10" s="2">
        <f t="shared" ca="1" si="0"/>
        <v>2751</v>
      </c>
      <c r="F10" s="8">
        <f t="shared" ca="1" si="1"/>
        <v>45382</v>
      </c>
      <c r="G10" s="7">
        <f t="shared" ca="1" si="2"/>
        <v>46477</v>
      </c>
      <c r="H10" s="2">
        <f t="shared" ca="1" si="7"/>
        <v>211</v>
      </c>
      <c r="I10" s="2">
        <f t="shared" ca="1" si="3"/>
        <v>58</v>
      </c>
      <c r="J10" s="2">
        <f t="shared" ca="1" si="8"/>
        <v>153</v>
      </c>
      <c r="K10" s="2" t="str">
        <f ca="1">INDEX(Данные!$D$1:$D$5, RANDBETWEEN(1,5))</f>
        <v>мир красоты</v>
      </c>
      <c r="L10" s="7">
        <f t="shared" ca="1" si="4"/>
        <v>45649</v>
      </c>
      <c r="M10" s="23">
        <f t="shared" ca="1" si="5"/>
        <v>45689</v>
      </c>
      <c r="N10" s="28">
        <f t="shared" ca="1" si="6"/>
        <v>159558</v>
      </c>
    </row>
    <row r="11" spans="1:15" x14ac:dyDescent="0.3">
      <c r="A11" s="4">
        <v>9</v>
      </c>
      <c r="B11" s="3" t="str">
        <f ca="1">INDEX(Данные!$A$1:$A$10, RANDBETWEEN(1,10))</f>
        <v>Essence</v>
      </c>
      <c r="C11" s="19" t="str">
        <f ca="1">INDEX(Данные!$B$1:$B$10, RANDBETWEEN(1,10))</f>
        <v>помада</v>
      </c>
      <c r="D11" s="18">
        <f ca="1">INDEX(Данные!$C$1:$C$6, RANDBETWEEN(1,6))</f>
        <v>30</v>
      </c>
      <c r="E11" s="2">
        <f t="shared" ca="1" si="0"/>
        <v>2098</v>
      </c>
      <c r="F11" s="8">
        <f t="shared" ca="1" si="1"/>
        <v>45633</v>
      </c>
      <c r="G11" s="7">
        <f t="shared" ca="1" si="2"/>
        <v>46728</v>
      </c>
      <c r="H11" s="2">
        <f t="shared" ca="1" si="7"/>
        <v>200</v>
      </c>
      <c r="I11" s="2">
        <f t="shared" ca="1" si="3"/>
        <v>143</v>
      </c>
      <c r="J11" s="2">
        <f t="shared" ca="1" si="8"/>
        <v>57</v>
      </c>
      <c r="K11" s="2" t="str">
        <f ca="1">INDEX(Данные!$D$1:$D$5, RANDBETWEEN(1,5))</f>
        <v>мир красоты</v>
      </c>
      <c r="L11" s="7">
        <f t="shared" ca="1" si="4"/>
        <v>45684</v>
      </c>
      <c r="M11" s="23">
        <f t="shared" ca="1" si="5"/>
        <v>45696</v>
      </c>
      <c r="N11" s="28">
        <f t="shared" ca="1" si="6"/>
        <v>300014</v>
      </c>
    </row>
    <row r="12" spans="1:15" x14ac:dyDescent="0.3">
      <c r="A12" s="4">
        <v>10</v>
      </c>
      <c r="B12" s="3" t="str">
        <f ca="1">INDEX(Данные!$A$1:$A$10, RANDBETWEEN(1,10))</f>
        <v>NYX</v>
      </c>
      <c r="C12" s="19" t="str">
        <f ca="1">INDEX(Данные!$B$1:$B$10, RANDBETWEEN(1,10))</f>
        <v>тональная основа</v>
      </c>
      <c r="D12" s="18">
        <f ca="1">INDEX(Данные!$C$1:$C$6, RANDBETWEEN(1,6))</f>
        <v>15</v>
      </c>
      <c r="E12" s="2">
        <f t="shared" ca="1" si="0"/>
        <v>2864</v>
      </c>
      <c r="F12" s="8">
        <f t="shared" ca="1" si="1"/>
        <v>45389</v>
      </c>
      <c r="G12" s="7">
        <f t="shared" ca="1" si="2"/>
        <v>46484</v>
      </c>
      <c r="H12" s="2">
        <f t="shared" ca="1" si="7"/>
        <v>95</v>
      </c>
      <c r="I12" s="2">
        <f t="shared" ca="1" si="3"/>
        <v>12</v>
      </c>
      <c r="J12" s="2">
        <f t="shared" ca="1" si="8"/>
        <v>83</v>
      </c>
      <c r="K12" s="2" t="str">
        <f ca="1">INDEX(Данные!$D$1:$D$5, RANDBETWEEN(1,5))</f>
        <v>органик лайн</v>
      </c>
      <c r="L12" s="7">
        <f t="shared" ca="1" si="4"/>
        <v>45422</v>
      </c>
      <c r="M12" s="23">
        <f t="shared" ca="1" si="5"/>
        <v>45627</v>
      </c>
      <c r="N12" s="28">
        <f t="shared" ca="1" si="6"/>
        <v>34368</v>
      </c>
    </row>
    <row r="13" spans="1:15" x14ac:dyDescent="0.3">
      <c r="A13" s="4">
        <v>11</v>
      </c>
      <c r="B13" s="3" t="str">
        <f ca="1">INDEX(Данные!$A$1:$A$10, RANDBETWEEN(1,10))</f>
        <v>Clarins</v>
      </c>
      <c r="C13" s="19" t="str">
        <f ca="1">INDEX(Данные!$B$1:$B$10, RANDBETWEEN(1,10))</f>
        <v>пенка для умывания</v>
      </c>
      <c r="D13" s="18">
        <f ca="1">INDEX(Данные!$C$1:$C$6, RANDBETWEEN(1,6))</f>
        <v>15</v>
      </c>
      <c r="E13" s="2">
        <f t="shared" ca="1" si="0"/>
        <v>2054</v>
      </c>
      <c r="F13" s="8">
        <f t="shared" ca="1" si="1"/>
        <v>45553</v>
      </c>
      <c r="G13" s="7">
        <f t="shared" ca="1" si="2"/>
        <v>46648</v>
      </c>
      <c r="H13" s="2">
        <f t="shared" ca="1" si="7"/>
        <v>251</v>
      </c>
      <c r="I13" s="2">
        <f t="shared" ca="1" si="3"/>
        <v>0</v>
      </c>
      <c r="J13" s="2">
        <f t="shared" ca="1" si="8"/>
        <v>251</v>
      </c>
      <c r="K13" s="2" t="str">
        <f ca="1">INDEX(Данные!$D$1:$D$5, RANDBETWEEN(1,5))</f>
        <v>мир красоты</v>
      </c>
      <c r="L13" s="7">
        <f t="shared" ca="1" si="4"/>
        <v>45554</v>
      </c>
      <c r="M13" s="23">
        <f t="shared" ca="1" si="5"/>
        <v>45586</v>
      </c>
      <c r="N13" s="28">
        <f t="shared" ca="1" si="6"/>
        <v>0</v>
      </c>
    </row>
    <row r="14" spans="1:15" x14ac:dyDescent="0.3">
      <c r="A14" s="4">
        <v>12</v>
      </c>
      <c r="B14" s="3" t="str">
        <f ca="1">INDEX(Данные!$A$1:$A$10, RANDBETWEEN(1,10))</f>
        <v>Maybelline</v>
      </c>
      <c r="C14" s="19" t="str">
        <f ca="1">INDEX(Данные!$B$1:$B$10, RANDBETWEEN(1,10))</f>
        <v>тональная основа</v>
      </c>
      <c r="D14" s="18">
        <f ca="1">INDEX(Данные!$C$1:$C$6, RANDBETWEEN(1,6))</f>
        <v>50</v>
      </c>
      <c r="E14" s="2">
        <f t="shared" ca="1" si="0"/>
        <v>615</v>
      </c>
      <c r="F14" s="8">
        <f t="shared" ca="1" si="1"/>
        <v>45430</v>
      </c>
      <c r="G14" s="7">
        <f t="shared" ca="1" si="2"/>
        <v>46525</v>
      </c>
      <c r="H14" s="2">
        <f t="shared" ca="1" si="7"/>
        <v>228</v>
      </c>
      <c r="I14" s="2">
        <f t="shared" ca="1" si="3"/>
        <v>33</v>
      </c>
      <c r="J14" s="2">
        <f t="shared" ca="1" si="8"/>
        <v>195</v>
      </c>
      <c r="K14" s="2" t="str">
        <f ca="1">INDEX(Данные!$D$1:$D$5, RANDBETWEEN(1,5))</f>
        <v>ИП Иванова</v>
      </c>
      <c r="L14" s="7">
        <f t="shared" ca="1" si="4"/>
        <v>45680</v>
      </c>
      <c r="M14" s="23">
        <f t="shared" ca="1" si="5"/>
        <v>45690</v>
      </c>
      <c r="N14" s="28">
        <f t="shared" ca="1" si="6"/>
        <v>20295</v>
      </c>
    </row>
    <row r="15" spans="1:15" x14ac:dyDescent="0.3">
      <c r="A15" s="4">
        <v>13</v>
      </c>
      <c r="B15" s="3" t="str">
        <f ca="1">INDEX(Данные!$A$1:$A$10, RANDBETWEEN(1,10))</f>
        <v>Gosh</v>
      </c>
      <c r="C15" s="19" t="str">
        <f ca="1">INDEX(Данные!$B$1:$B$10, RANDBETWEEN(1,10))</f>
        <v>скульптор</v>
      </c>
      <c r="D15" s="18">
        <f ca="1">INDEX(Данные!$C$1:$C$6, RANDBETWEEN(1,6))</f>
        <v>30</v>
      </c>
      <c r="E15" s="2">
        <f t="shared" ca="1" si="0"/>
        <v>3272</v>
      </c>
      <c r="F15" s="8">
        <f t="shared" ca="1" si="1"/>
        <v>45342</v>
      </c>
      <c r="G15" s="7">
        <f t="shared" ca="1" si="2"/>
        <v>46437</v>
      </c>
      <c r="H15" s="2">
        <f t="shared" ca="1" si="7"/>
        <v>108</v>
      </c>
      <c r="I15" s="2">
        <f t="shared" ca="1" si="3"/>
        <v>33</v>
      </c>
      <c r="J15" s="2">
        <f t="shared" ca="1" si="8"/>
        <v>75</v>
      </c>
      <c r="K15" s="2" t="str">
        <f ca="1">INDEX(Данные!$D$1:$D$5, RANDBETWEEN(1,5))</f>
        <v>мир красоты</v>
      </c>
      <c r="L15" s="7">
        <f t="shared" ca="1" si="4"/>
        <v>45505</v>
      </c>
      <c r="M15" s="23">
        <f t="shared" ca="1" si="5"/>
        <v>45607</v>
      </c>
      <c r="N15" s="28">
        <f t="shared" ca="1" si="6"/>
        <v>107976</v>
      </c>
    </row>
    <row r="16" spans="1:15" x14ac:dyDescent="0.3">
      <c r="A16" s="4">
        <v>14</v>
      </c>
      <c r="B16" s="3" t="str">
        <f ca="1">INDEX(Данные!$A$1:$A$10, RANDBETWEEN(1,10))</f>
        <v>Gosh</v>
      </c>
      <c r="C16" s="19" t="str">
        <f ca="1">INDEX(Данные!$B$1:$B$10, RANDBETWEEN(1,10))</f>
        <v>консилер</v>
      </c>
      <c r="D16" s="18">
        <f ca="1">INDEX(Данные!$C$1:$C$6, RANDBETWEEN(1,6))</f>
        <v>20</v>
      </c>
      <c r="E16" s="2">
        <f t="shared" ca="1" si="0"/>
        <v>4606</v>
      </c>
      <c r="F16" s="8">
        <f t="shared" ca="1" si="1"/>
        <v>45348</v>
      </c>
      <c r="G16" s="7">
        <f t="shared" ca="1" si="2"/>
        <v>46443</v>
      </c>
      <c r="H16" s="2">
        <f t="shared" ca="1" si="7"/>
        <v>238</v>
      </c>
      <c r="I16" s="2">
        <f t="shared" ca="1" si="3"/>
        <v>118</v>
      </c>
      <c r="J16" s="2">
        <f t="shared" ca="1" si="8"/>
        <v>120</v>
      </c>
      <c r="K16" s="2" t="str">
        <f ca="1">INDEX(Данные!$D$1:$D$5, RANDBETWEEN(1,5))</f>
        <v>мир красоты</v>
      </c>
      <c r="L16" s="7">
        <f t="shared" ca="1" si="4"/>
        <v>45471</v>
      </c>
      <c r="M16" s="23">
        <f t="shared" ca="1" si="5"/>
        <v>45700</v>
      </c>
      <c r="N16" s="28">
        <f t="shared" ca="1" si="6"/>
        <v>543508</v>
      </c>
    </row>
    <row r="17" spans="1:14" x14ac:dyDescent="0.3">
      <c r="A17" s="4">
        <v>15</v>
      </c>
      <c r="B17" s="3" t="str">
        <f ca="1">INDEX(Данные!$A$1:$A$10, RANDBETWEEN(1,10))</f>
        <v>Essence</v>
      </c>
      <c r="C17" s="19" t="str">
        <f ca="1">INDEX(Данные!$B$1:$B$10, RANDBETWEEN(1,10))</f>
        <v>консилер</v>
      </c>
      <c r="D17" s="18">
        <f ca="1">INDEX(Данные!$C$1:$C$6, RANDBETWEEN(1,6))</f>
        <v>10</v>
      </c>
      <c r="E17" s="2">
        <f t="shared" ca="1" si="0"/>
        <v>4843</v>
      </c>
      <c r="F17" s="8">
        <f t="shared" ca="1" si="1"/>
        <v>45395</v>
      </c>
      <c r="G17" s="7">
        <f t="shared" ca="1" si="2"/>
        <v>46490</v>
      </c>
      <c r="H17" s="2">
        <f t="shared" ca="1" si="7"/>
        <v>231</v>
      </c>
      <c r="I17" s="2">
        <f t="shared" ca="1" si="3"/>
        <v>165</v>
      </c>
      <c r="J17" s="2">
        <f t="shared" ca="1" si="8"/>
        <v>66</v>
      </c>
      <c r="K17" s="2" t="str">
        <f ca="1">INDEX(Данные!$D$1:$D$5, RANDBETWEEN(1,5))</f>
        <v>Пантикка</v>
      </c>
      <c r="L17" s="7">
        <f t="shared" ca="1" si="4"/>
        <v>45453</v>
      </c>
      <c r="M17" s="23">
        <f t="shared" ca="1" si="5"/>
        <v>45598</v>
      </c>
      <c r="N17" s="28">
        <f t="shared" ca="1" si="6"/>
        <v>799095</v>
      </c>
    </row>
    <row r="18" spans="1:14" x14ac:dyDescent="0.3">
      <c r="A18" s="4">
        <v>16</v>
      </c>
      <c r="B18" s="3" t="str">
        <f ca="1">INDEX(Данные!$A$1:$A$10, RANDBETWEEN(1,10))</f>
        <v>NYX</v>
      </c>
      <c r="C18" s="19" t="str">
        <f ca="1">INDEX(Данные!$B$1:$B$10, RANDBETWEEN(1,10))</f>
        <v>пенка для умывания</v>
      </c>
      <c r="D18" s="18">
        <f ca="1">INDEX(Данные!$C$1:$C$6, RANDBETWEEN(1,6))</f>
        <v>15</v>
      </c>
      <c r="E18" s="2">
        <f t="shared" ca="1" si="0"/>
        <v>1251</v>
      </c>
      <c r="F18" s="8">
        <f t="shared" ca="1" si="1"/>
        <v>45701</v>
      </c>
      <c r="G18" s="7">
        <f t="shared" ca="1" si="2"/>
        <v>46796</v>
      </c>
      <c r="H18" s="2">
        <f t="shared" ca="1" si="7"/>
        <v>209</v>
      </c>
      <c r="I18" s="2">
        <f t="shared" ca="1" si="3"/>
        <v>159</v>
      </c>
      <c r="J18" s="2">
        <f t="shared" ca="1" si="8"/>
        <v>50</v>
      </c>
      <c r="K18" s="2" t="str">
        <f ca="1">INDEX(Данные!$D$1:$D$5, RANDBETWEEN(1,5))</f>
        <v>мир красоты</v>
      </c>
      <c r="L18" s="7">
        <f t="shared" ca="1" si="4"/>
        <v>45702</v>
      </c>
      <c r="M18" s="23">
        <f t="shared" ca="1" si="5"/>
        <v>45707</v>
      </c>
      <c r="N18" s="28">
        <f t="shared" ca="1" si="6"/>
        <v>198909</v>
      </c>
    </row>
    <row r="19" spans="1:14" x14ac:dyDescent="0.3">
      <c r="A19" s="4">
        <v>17</v>
      </c>
      <c r="B19" s="3" t="str">
        <f ca="1">INDEX(Данные!$A$1:$A$10, RANDBETWEEN(1,10))</f>
        <v>Maybelline</v>
      </c>
      <c r="C19" s="19" t="str">
        <f ca="1">INDEX(Данные!$B$1:$B$10, RANDBETWEEN(1,10))</f>
        <v>румяна</v>
      </c>
      <c r="D19" s="18">
        <f ca="1">INDEX(Данные!$C$1:$C$6, RANDBETWEEN(1,6))</f>
        <v>30</v>
      </c>
      <c r="E19" s="2">
        <f t="shared" ca="1" si="0"/>
        <v>1428</v>
      </c>
      <c r="F19" s="8">
        <f t="shared" ca="1" si="1"/>
        <v>45367</v>
      </c>
      <c r="G19" s="7">
        <f t="shared" ca="1" si="2"/>
        <v>46462</v>
      </c>
      <c r="H19" s="2">
        <f t="shared" ca="1" si="7"/>
        <v>234</v>
      </c>
      <c r="I19" s="2">
        <f t="shared" ca="1" si="3"/>
        <v>1</v>
      </c>
      <c r="J19" s="2">
        <f t="shared" ca="1" si="8"/>
        <v>233</v>
      </c>
      <c r="K19" s="2" t="str">
        <f ca="1">INDEX(Данные!$D$1:$D$5, RANDBETWEEN(1,5))</f>
        <v>Пантикка</v>
      </c>
      <c r="L19" s="7">
        <f t="shared" ca="1" si="4"/>
        <v>45673</v>
      </c>
      <c r="M19" s="23">
        <f t="shared" ca="1" si="5"/>
        <v>45681</v>
      </c>
      <c r="N19" s="28">
        <f t="shared" ca="1" si="6"/>
        <v>1428</v>
      </c>
    </row>
    <row r="20" spans="1:14" x14ac:dyDescent="0.3">
      <c r="A20" s="4">
        <v>18</v>
      </c>
      <c r="B20" s="3" t="str">
        <f ca="1">INDEX(Данные!$A$1:$A$10, RANDBETWEEN(1,10))</f>
        <v>Kiko</v>
      </c>
      <c r="C20" s="19" t="str">
        <f ca="1">INDEX(Данные!$B$1:$B$10, RANDBETWEEN(1,10))</f>
        <v>блеск для губ</v>
      </c>
      <c r="D20" s="18">
        <f ca="1">INDEX(Данные!$C$1:$C$6, RANDBETWEEN(1,6))</f>
        <v>100</v>
      </c>
      <c r="E20" s="2">
        <f t="shared" ca="1" si="0"/>
        <v>3090</v>
      </c>
      <c r="F20" s="8">
        <f t="shared" ca="1" si="1"/>
        <v>45386</v>
      </c>
      <c r="G20" s="7">
        <f t="shared" ca="1" si="2"/>
        <v>46481</v>
      </c>
      <c r="H20" s="2">
        <f t="shared" ca="1" si="7"/>
        <v>297</v>
      </c>
      <c r="I20" s="2">
        <f t="shared" ca="1" si="3"/>
        <v>214</v>
      </c>
      <c r="J20" s="2">
        <f t="shared" ca="1" si="8"/>
        <v>83</v>
      </c>
      <c r="K20" s="2" t="str">
        <f ca="1">INDEX(Данные!$D$1:$D$5, RANDBETWEEN(1,5))</f>
        <v>Пантикка</v>
      </c>
      <c r="L20" s="7">
        <f t="shared" ca="1" si="4"/>
        <v>45676</v>
      </c>
      <c r="M20" s="23">
        <f t="shared" ca="1" si="5"/>
        <v>45700</v>
      </c>
      <c r="N20" s="28">
        <f t="shared" ca="1" si="6"/>
        <v>661260</v>
      </c>
    </row>
    <row r="21" spans="1:14" x14ac:dyDescent="0.3">
      <c r="A21" s="4">
        <v>19</v>
      </c>
      <c r="B21" s="3" t="str">
        <f ca="1">INDEX(Данные!$A$1:$A$10, RANDBETWEEN(1,10))</f>
        <v>Essence</v>
      </c>
      <c r="C21" s="19" t="str">
        <f ca="1">INDEX(Данные!$B$1:$B$10, RANDBETWEEN(1,10))</f>
        <v>тональная основа</v>
      </c>
      <c r="D21" s="18">
        <f ca="1">INDEX(Данные!$C$1:$C$6, RANDBETWEEN(1,6))</f>
        <v>30</v>
      </c>
      <c r="E21" s="2">
        <f t="shared" ca="1" si="0"/>
        <v>1519</v>
      </c>
      <c r="F21" s="8">
        <f t="shared" ca="1" si="1"/>
        <v>45607</v>
      </c>
      <c r="G21" s="7">
        <f t="shared" ca="1" si="2"/>
        <v>46702</v>
      </c>
      <c r="H21" s="2">
        <f t="shared" ca="1" si="7"/>
        <v>267</v>
      </c>
      <c r="I21" s="2">
        <f t="shared" ca="1" si="3"/>
        <v>74</v>
      </c>
      <c r="J21" s="2">
        <f t="shared" ca="1" si="8"/>
        <v>193</v>
      </c>
      <c r="K21" s="2" t="str">
        <f ca="1">INDEX(Данные!$D$1:$D$5, RANDBETWEEN(1,5))</f>
        <v>органик лайн</v>
      </c>
      <c r="L21" s="7">
        <f t="shared" ca="1" si="4"/>
        <v>45638</v>
      </c>
      <c r="M21" s="23">
        <f t="shared" ca="1" si="5"/>
        <v>45706</v>
      </c>
      <c r="N21" s="28">
        <f t="shared" ca="1" si="6"/>
        <v>112406</v>
      </c>
    </row>
    <row r="22" spans="1:14" x14ac:dyDescent="0.3">
      <c r="A22" s="4">
        <v>20</v>
      </c>
      <c r="B22" s="3" t="str">
        <f ca="1">INDEX(Данные!$A$1:$A$10, RANDBETWEEN(1,10))</f>
        <v>Vichy</v>
      </c>
      <c r="C22" s="19" t="str">
        <f ca="1">INDEX(Данные!$B$1:$B$10, RANDBETWEEN(1,10))</f>
        <v>пенка для умывания</v>
      </c>
      <c r="D22" s="18">
        <f ca="1">INDEX(Данные!$C$1:$C$6, RANDBETWEEN(1,6))</f>
        <v>10</v>
      </c>
      <c r="E22" s="2">
        <f t="shared" ca="1" si="0"/>
        <v>2762</v>
      </c>
      <c r="F22" s="8">
        <f t="shared" ca="1" si="1"/>
        <v>45658</v>
      </c>
      <c r="G22" s="7">
        <f t="shared" ca="1" si="2"/>
        <v>46753</v>
      </c>
      <c r="H22" s="2">
        <f t="shared" ca="1" si="7"/>
        <v>299</v>
      </c>
      <c r="I22" s="2">
        <f t="shared" ca="1" si="3"/>
        <v>108</v>
      </c>
      <c r="J22" s="2">
        <f t="shared" ca="1" si="8"/>
        <v>191</v>
      </c>
      <c r="K22" s="2" t="str">
        <f ca="1">INDEX(Данные!$D$1:$D$5, RANDBETWEEN(1,5))</f>
        <v>Пантикка</v>
      </c>
      <c r="L22" s="7">
        <f t="shared" ca="1" si="4"/>
        <v>45658</v>
      </c>
      <c r="M22" s="23">
        <f t="shared" ca="1" si="5"/>
        <v>45683</v>
      </c>
      <c r="N22" s="28">
        <f t="shared" ca="1" si="6"/>
        <v>298296</v>
      </c>
    </row>
    <row r="23" spans="1:14" x14ac:dyDescent="0.3">
      <c r="A23" s="4">
        <v>21</v>
      </c>
      <c r="B23" s="3" t="str">
        <f ca="1">INDEX(Данные!$A$1:$A$10, RANDBETWEEN(1,10))</f>
        <v>CeraVe</v>
      </c>
      <c r="C23" s="19" t="str">
        <f ca="1">INDEX(Данные!$B$1:$B$10, RANDBETWEEN(1,10))</f>
        <v>хайлайтер</v>
      </c>
      <c r="D23" s="18">
        <f ca="1">INDEX(Данные!$C$1:$C$6, RANDBETWEEN(1,6))</f>
        <v>20</v>
      </c>
      <c r="E23" s="2">
        <f t="shared" ca="1" si="0"/>
        <v>643</v>
      </c>
      <c r="F23" s="8">
        <f t="shared" ca="1" si="1"/>
        <v>45661</v>
      </c>
      <c r="G23" s="7">
        <f t="shared" ca="1" si="2"/>
        <v>46756</v>
      </c>
      <c r="H23" s="2">
        <f t="shared" ca="1" si="7"/>
        <v>77</v>
      </c>
      <c r="I23" s="2">
        <f t="shared" ca="1" si="3"/>
        <v>46</v>
      </c>
      <c r="J23" s="2">
        <f t="shared" ca="1" si="8"/>
        <v>31</v>
      </c>
      <c r="K23" s="2" t="str">
        <f ca="1">INDEX(Данные!$D$1:$D$5, RANDBETWEEN(1,5))</f>
        <v>органик лайн</v>
      </c>
      <c r="L23" s="7">
        <f t="shared" ca="1" si="4"/>
        <v>45699</v>
      </c>
      <c r="M23" s="23">
        <f t="shared" ca="1" si="5"/>
        <v>45706</v>
      </c>
      <c r="N23" s="28">
        <f t="shared" ca="1" si="6"/>
        <v>29578</v>
      </c>
    </row>
    <row r="24" spans="1:14" x14ac:dyDescent="0.3">
      <c r="A24" s="4">
        <v>22</v>
      </c>
      <c r="B24" s="3" t="str">
        <f ca="1">INDEX(Данные!$A$1:$A$10, RANDBETWEEN(1,10))</f>
        <v>Kiko</v>
      </c>
      <c r="C24" s="19" t="str">
        <f ca="1">INDEX(Данные!$B$1:$B$10, RANDBETWEEN(1,10))</f>
        <v>пенка для умывания</v>
      </c>
      <c r="D24" s="18">
        <f ca="1">INDEX(Данные!$C$1:$C$6, RANDBETWEEN(1,6))</f>
        <v>15</v>
      </c>
      <c r="E24" s="2">
        <f t="shared" ca="1" si="0"/>
        <v>3438</v>
      </c>
      <c r="F24" s="8">
        <f t="shared" ca="1" si="1"/>
        <v>45554</v>
      </c>
      <c r="G24" s="7">
        <f t="shared" ca="1" si="2"/>
        <v>46649</v>
      </c>
      <c r="H24" s="2">
        <f t="shared" ca="1" si="7"/>
        <v>263</v>
      </c>
      <c r="I24" s="2">
        <f t="shared" ca="1" si="3"/>
        <v>54</v>
      </c>
      <c r="J24" s="2">
        <f t="shared" ca="1" si="8"/>
        <v>209</v>
      </c>
      <c r="K24" s="2" t="str">
        <f ca="1">INDEX(Данные!$D$1:$D$5, RANDBETWEEN(1,5))</f>
        <v>Соландра косметикс</v>
      </c>
      <c r="L24" s="7">
        <f t="shared" ca="1" si="4"/>
        <v>45651</v>
      </c>
      <c r="M24" s="23">
        <f t="shared" ca="1" si="5"/>
        <v>45657</v>
      </c>
      <c r="N24" s="28">
        <f t="shared" ca="1" si="6"/>
        <v>185652</v>
      </c>
    </row>
    <row r="25" spans="1:14" x14ac:dyDescent="0.3">
      <c r="A25" s="4">
        <v>23</v>
      </c>
      <c r="B25" s="3" t="str">
        <f ca="1">INDEX(Данные!$A$1:$A$10, RANDBETWEEN(1,10))</f>
        <v>NYX</v>
      </c>
      <c r="C25" s="19" t="str">
        <f ca="1">INDEX(Данные!$B$1:$B$10, RANDBETWEEN(1,10))</f>
        <v>тональная основа</v>
      </c>
      <c r="D25" s="18">
        <f ca="1">INDEX(Данные!$C$1:$C$6, RANDBETWEEN(1,6))</f>
        <v>100</v>
      </c>
      <c r="E25" s="2">
        <f t="shared" ca="1" si="0"/>
        <v>3301</v>
      </c>
      <c r="F25" s="8">
        <f t="shared" ca="1" si="1"/>
        <v>45636</v>
      </c>
      <c r="G25" s="7">
        <f t="shared" ca="1" si="2"/>
        <v>46731</v>
      </c>
      <c r="H25" s="2">
        <f t="shared" ca="1" si="7"/>
        <v>212</v>
      </c>
      <c r="I25" s="2">
        <f t="shared" ca="1" si="3"/>
        <v>170</v>
      </c>
      <c r="J25" s="2">
        <f t="shared" ca="1" si="8"/>
        <v>42</v>
      </c>
      <c r="K25" s="2" t="str">
        <f ca="1">INDEX(Данные!$D$1:$D$5, RANDBETWEEN(1,5))</f>
        <v>ИП Иванова</v>
      </c>
      <c r="L25" s="7">
        <f t="shared" ca="1" si="4"/>
        <v>45659</v>
      </c>
      <c r="M25" s="23">
        <f t="shared" ca="1" si="5"/>
        <v>45685</v>
      </c>
      <c r="N25" s="28">
        <f t="shared" ca="1" si="6"/>
        <v>561170</v>
      </c>
    </row>
    <row r="26" spans="1:14" x14ac:dyDescent="0.3">
      <c r="A26" s="4">
        <v>24</v>
      </c>
      <c r="B26" s="3" t="str">
        <f ca="1">INDEX(Данные!$A$1:$A$10, RANDBETWEEN(1,10))</f>
        <v>Clinique</v>
      </c>
      <c r="C26" s="19" t="str">
        <f ca="1">INDEX(Данные!$B$1:$B$10, RANDBETWEEN(1,10))</f>
        <v>блеск для губ</v>
      </c>
      <c r="D26" s="18">
        <f ca="1">INDEX(Данные!$C$1:$C$6, RANDBETWEEN(1,6))</f>
        <v>50</v>
      </c>
      <c r="E26" s="2">
        <f t="shared" ca="1" si="0"/>
        <v>4031</v>
      </c>
      <c r="F26" s="8">
        <f t="shared" ca="1" si="1"/>
        <v>45445</v>
      </c>
      <c r="G26" s="7">
        <f t="shared" ca="1" si="2"/>
        <v>46540</v>
      </c>
      <c r="H26" s="2">
        <f t="shared" ca="1" si="7"/>
        <v>92</v>
      </c>
      <c r="I26" s="2">
        <f t="shared" ca="1" si="3"/>
        <v>36</v>
      </c>
      <c r="J26" s="2">
        <f t="shared" ca="1" si="8"/>
        <v>56</v>
      </c>
      <c r="K26" s="2" t="str">
        <f ca="1">INDEX(Данные!$D$1:$D$5, RANDBETWEEN(1,5))</f>
        <v>Соландра косметикс</v>
      </c>
      <c r="L26" s="7">
        <f t="shared" ca="1" si="4"/>
        <v>45505</v>
      </c>
      <c r="M26" s="23">
        <f t="shared" ca="1" si="5"/>
        <v>45550</v>
      </c>
      <c r="N26" s="28">
        <f t="shared" ca="1" si="6"/>
        <v>145116</v>
      </c>
    </row>
    <row r="27" spans="1:14" x14ac:dyDescent="0.3">
      <c r="A27" s="4">
        <v>25</v>
      </c>
      <c r="B27" s="3" t="str">
        <f ca="1">INDEX(Данные!$A$1:$A$10, RANDBETWEEN(1,10))</f>
        <v>Essence</v>
      </c>
      <c r="C27" s="19" t="s">
        <v>27</v>
      </c>
      <c r="D27" s="18">
        <f ca="1">INDEX(Данные!$C$1:$C$6, RANDBETWEEN(1,6))</f>
        <v>20</v>
      </c>
      <c r="E27" s="2">
        <f t="shared" ca="1" si="0"/>
        <v>1261</v>
      </c>
      <c r="F27" s="8">
        <f t="shared" ca="1" si="1"/>
        <v>45685</v>
      </c>
      <c r="G27" s="7">
        <f t="shared" ca="1" si="2"/>
        <v>46780</v>
      </c>
      <c r="H27" s="2">
        <f>1000</f>
        <v>1000</v>
      </c>
      <c r="I27" s="2">
        <f>900</f>
        <v>900</v>
      </c>
      <c r="J27" s="2">
        <f>100</f>
        <v>100</v>
      </c>
      <c r="K27" s="2" t="str">
        <f ca="1">INDEX(Данные!$D$1:$D$5, RANDBETWEEN(1,5))</f>
        <v>Соландра косметикс</v>
      </c>
      <c r="L27" s="7">
        <f t="shared" ca="1" si="4"/>
        <v>45694</v>
      </c>
      <c r="M27" s="23">
        <f t="shared" ca="1" si="5"/>
        <v>45705</v>
      </c>
      <c r="N27" s="28">
        <f t="shared" ca="1" si="6"/>
        <v>1134900</v>
      </c>
    </row>
    <row r="28" spans="1:14" x14ac:dyDescent="0.3">
      <c r="A28" s="4">
        <v>26</v>
      </c>
      <c r="B28" s="3" t="str">
        <f ca="1">INDEX(Данные!$A$1:$A$10, RANDBETWEEN(1,10))</f>
        <v>CeraVe</v>
      </c>
      <c r="C28" s="19" t="str">
        <f ca="1">INDEX(Данные!$B$1:$B$10, RANDBETWEEN(1,10))</f>
        <v>тушь</v>
      </c>
      <c r="D28" s="18">
        <f ca="1">INDEX(Данные!$C$1:$C$6, RANDBETWEEN(1,6))</f>
        <v>30</v>
      </c>
      <c r="E28" s="2">
        <f t="shared" ca="1" si="0"/>
        <v>3557</v>
      </c>
      <c r="F28" s="8">
        <f t="shared" ca="1" si="1"/>
        <v>45702</v>
      </c>
      <c r="G28" s="7">
        <f t="shared" ca="1" si="2"/>
        <v>46797</v>
      </c>
      <c r="H28" s="2">
        <f t="shared" ca="1" si="7"/>
        <v>123</v>
      </c>
      <c r="I28" s="2">
        <f ca="1">H28-J28</f>
        <v>81</v>
      </c>
      <c r="J28" s="2">
        <f t="shared" ca="1" si="8"/>
        <v>42</v>
      </c>
      <c r="K28" s="2" t="str">
        <f ca="1">INDEX(Данные!$D$1:$D$5, RANDBETWEEN(1,5))</f>
        <v>Соландра косметикс</v>
      </c>
      <c r="L28" s="7">
        <f t="shared" ca="1" si="4"/>
        <v>45704</v>
      </c>
      <c r="M28" s="23">
        <f t="shared" ca="1" si="5"/>
        <v>45706</v>
      </c>
      <c r="N28" s="28">
        <f t="shared" ca="1" si="6"/>
        <v>288117</v>
      </c>
    </row>
    <row r="29" spans="1:14" x14ac:dyDescent="0.3">
      <c r="A29" s="4">
        <v>27</v>
      </c>
      <c r="B29" s="3" t="str">
        <f ca="1">INDEX(Данные!$A$1:$A$10, RANDBETWEEN(1,10))</f>
        <v>NYX</v>
      </c>
      <c r="C29" s="19" t="str">
        <f ca="1">INDEX(Данные!$B$1:$B$10, RANDBETWEEN(1,10))</f>
        <v>румяна</v>
      </c>
      <c r="D29" s="18">
        <f ca="1">INDEX(Данные!$C$1:$C$6, RANDBETWEEN(1,6))</f>
        <v>10</v>
      </c>
      <c r="E29" s="2">
        <f t="shared" ca="1" si="0"/>
        <v>2909</v>
      </c>
      <c r="F29" s="8">
        <f t="shared" ca="1" si="1"/>
        <v>45659</v>
      </c>
      <c r="G29" s="7">
        <f t="shared" ca="1" si="2"/>
        <v>46754</v>
      </c>
      <c r="H29" s="2">
        <f t="shared" ca="1" si="7"/>
        <v>167</v>
      </c>
      <c r="I29" s="2">
        <f t="shared" ca="1" si="3"/>
        <v>123</v>
      </c>
      <c r="J29" s="2">
        <f t="shared" ca="1" si="8"/>
        <v>44</v>
      </c>
      <c r="K29" s="2" t="str">
        <f ca="1">INDEX(Данные!$D$1:$D$5, RANDBETWEEN(1,5))</f>
        <v>Соландра косметикс</v>
      </c>
      <c r="L29" s="7">
        <f t="shared" ca="1" si="4"/>
        <v>45665</v>
      </c>
      <c r="M29" s="23">
        <f t="shared" ca="1" si="5"/>
        <v>45668</v>
      </c>
      <c r="N29" s="28">
        <f t="shared" ca="1" si="6"/>
        <v>357807</v>
      </c>
    </row>
    <row r="30" spans="1:14" x14ac:dyDescent="0.3">
      <c r="A30" s="4">
        <v>28</v>
      </c>
      <c r="B30" s="3" t="str">
        <f ca="1">INDEX(Данные!$A$1:$A$10, RANDBETWEEN(1,10))</f>
        <v>Clarins</v>
      </c>
      <c r="C30" s="19" t="str">
        <f ca="1">INDEX(Данные!$B$1:$B$10, RANDBETWEEN(1,10))</f>
        <v>хайлайтер</v>
      </c>
      <c r="D30" s="18">
        <f ca="1">INDEX(Данные!$C$1:$C$6, RANDBETWEEN(1,6))</f>
        <v>100</v>
      </c>
      <c r="E30" s="2">
        <f t="shared" ca="1" si="0"/>
        <v>691</v>
      </c>
      <c r="F30" s="8">
        <f t="shared" ca="1" si="1"/>
        <v>45454</v>
      </c>
      <c r="G30" s="7">
        <f t="shared" ca="1" si="2"/>
        <v>46549</v>
      </c>
      <c r="H30" s="2">
        <f t="shared" ca="1" si="7"/>
        <v>215</v>
      </c>
      <c r="I30" s="2">
        <f t="shared" ca="1" si="3"/>
        <v>89</v>
      </c>
      <c r="J30" s="2">
        <f t="shared" ca="1" si="8"/>
        <v>126</v>
      </c>
      <c r="K30" s="2" t="str">
        <f ca="1">INDEX(Данные!$D$1:$D$5, RANDBETWEEN(1,5))</f>
        <v>Соландра косметикс</v>
      </c>
      <c r="L30" s="7">
        <f t="shared" ca="1" si="4"/>
        <v>45572</v>
      </c>
      <c r="M30" s="23">
        <f t="shared" ca="1" si="5"/>
        <v>45653</v>
      </c>
      <c r="N30" s="28">
        <f t="shared" ca="1" si="6"/>
        <v>61499</v>
      </c>
    </row>
    <row r="31" spans="1:14" x14ac:dyDescent="0.3">
      <c r="A31" s="4">
        <v>29</v>
      </c>
      <c r="B31" s="3" t="str">
        <f ca="1">INDEX(Данные!$A$1:$A$10, RANDBETWEEN(1,10))</f>
        <v>Clinique</v>
      </c>
      <c r="C31" s="19" t="str">
        <f ca="1">INDEX(Данные!$B$1:$B$10, RANDBETWEEN(1,10))</f>
        <v>пенка для умывания</v>
      </c>
      <c r="D31" s="18">
        <f ca="1">INDEX(Данные!$C$1:$C$6, RANDBETWEEN(1,6))</f>
        <v>100</v>
      </c>
      <c r="E31" s="2">
        <f t="shared" ca="1" si="0"/>
        <v>4579</v>
      </c>
      <c r="F31" s="8">
        <f t="shared" ca="1" si="1"/>
        <v>45527</v>
      </c>
      <c r="G31" s="7">
        <f t="shared" ca="1" si="2"/>
        <v>46622</v>
      </c>
      <c r="H31" s="2">
        <f t="shared" ca="1" si="7"/>
        <v>65</v>
      </c>
      <c r="I31" s="2">
        <f t="shared" ca="1" si="3"/>
        <v>40</v>
      </c>
      <c r="J31" s="2">
        <f t="shared" ca="1" si="8"/>
        <v>25</v>
      </c>
      <c r="K31" s="2" t="str">
        <f ca="1">INDEX(Данные!$D$1:$D$5, RANDBETWEEN(1,5))</f>
        <v>мир красоты</v>
      </c>
      <c r="L31" s="7">
        <f t="shared" ca="1" si="4"/>
        <v>45654</v>
      </c>
      <c r="M31" s="23">
        <f t="shared" ca="1" si="5"/>
        <v>45699</v>
      </c>
      <c r="N31" s="28">
        <f t="shared" ca="1" si="6"/>
        <v>183160</v>
      </c>
    </row>
    <row r="32" spans="1:14" x14ac:dyDescent="0.3">
      <c r="A32" s="4">
        <v>30</v>
      </c>
      <c r="B32" s="3" t="str">
        <f ca="1">INDEX(Данные!$A$1:$A$10, RANDBETWEEN(1,10))</f>
        <v>Loreal Paris</v>
      </c>
      <c r="C32" s="19" t="str">
        <f ca="1">INDEX(Данные!$B$1:$B$10, RANDBETWEEN(1,10))</f>
        <v>праймер</v>
      </c>
      <c r="D32" s="18">
        <f ca="1">INDEX(Данные!$C$1:$C$6, RANDBETWEEN(1,6))</f>
        <v>100</v>
      </c>
      <c r="E32" s="2">
        <f t="shared" ca="1" si="0"/>
        <v>4769</v>
      </c>
      <c r="F32" s="8">
        <f t="shared" ca="1" si="1"/>
        <v>45597</v>
      </c>
      <c r="G32" s="7">
        <f t="shared" ca="1" si="2"/>
        <v>46692</v>
      </c>
      <c r="H32" s="2">
        <f t="shared" ca="1" si="7"/>
        <v>119</v>
      </c>
      <c r="I32" s="2">
        <f t="shared" ca="1" si="3"/>
        <v>9</v>
      </c>
      <c r="J32" s="2">
        <f t="shared" ca="1" si="8"/>
        <v>110</v>
      </c>
      <c r="K32" s="2" t="str">
        <f ca="1">INDEX(Данные!$D$1:$D$5, RANDBETWEEN(1,5))</f>
        <v>органик лайн</v>
      </c>
      <c r="L32" s="7">
        <f t="shared" ca="1" si="4"/>
        <v>45645</v>
      </c>
      <c r="M32" s="23">
        <f t="shared" ca="1" si="5"/>
        <v>45657</v>
      </c>
      <c r="N32" s="28">
        <f t="shared" ca="1" si="6"/>
        <v>42921</v>
      </c>
    </row>
    <row r="33" spans="1:14" x14ac:dyDescent="0.3">
      <c r="A33" s="4">
        <v>31</v>
      </c>
      <c r="B33" s="3" t="str">
        <f ca="1">INDEX(Данные!$A$1:$A$10, RANDBETWEEN(1,10))</f>
        <v>Gosh</v>
      </c>
      <c r="C33" s="19" t="str">
        <f ca="1">INDEX(Данные!$B$1:$B$10, RANDBETWEEN(1,10))</f>
        <v>помада</v>
      </c>
      <c r="D33" s="18">
        <f ca="1">INDEX(Данные!$C$1:$C$6, RANDBETWEEN(1,6))</f>
        <v>10</v>
      </c>
      <c r="E33" s="2">
        <f t="shared" ca="1" si="0"/>
        <v>2039</v>
      </c>
      <c r="F33" s="8">
        <f t="shared" ca="1" si="1"/>
        <v>45656</v>
      </c>
      <c r="G33" s="7">
        <f t="shared" ca="1" si="2"/>
        <v>46751</v>
      </c>
      <c r="H33" s="2">
        <f t="shared" ca="1" si="7"/>
        <v>97</v>
      </c>
      <c r="I33" s="2">
        <f t="shared" ca="1" si="3"/>
        <v>69</v>
      </c>
      <c r="J33" s="2">
        <f t="shared" ca="1" si="8"/>
        <v>28</v>
      </c>
      <c r="K33" s="2" t="str">
        <f ca="1">INDEX(Данные!$D$1:$D$5, RANDBETWEEN(1,5))</f>
        <v>ИП Иванова</v>
      </c>
      <c r="L33" s="7">
        <f t="shared" ca="1" si="4"/>
        <v>45697</v>
      </c>
      <c r="M33" s="23">
        <f t="shared" ca="1" si="5"/>
        <v>45707</v>
      </c>
      <c r="N33" s="28">
        <f t="shared" ca="1" si="6"/>
        <v>140691</v>
      </c>
    </row>
    <row r="34" spans="1:14" x14ac:dyDescent="0.3">
      <c r="A34" s="4">
        <v>32</v>
      </c>
      <c r="B34" s="3" t="str">
        <f ca="1">INDEX(Данные!$A$1:$A$10, RANDBETWEEN(1,10))</f>
        <v>Clarins</v>
      </c>
      <c r="C34" s="19" t="str">
        <f ca="1">INDEX(Данные!$B$1:$B$10, RANDBETWEEN(1,10))</f>
        <v>румяна</v>
      </c>
      <c r="D34" s="18">
        <f ca="1">INDEX(Данные!$C$1:$C$6, RANDBETWEEN(1,6))</f>
        <v>10</v>
      </c>
      <c r="E34" s="2">
        <f t="shared" ca="1" si="0"/>
        <v>4680</v>
      </c>
      <c r="F34" s="8">
        <f t="shared" ca="1" si="1"/>
        <v>45686</v>
      </c>
      <c r="G34" s="7">
        <f t="shared" ca="1" si="2"/>
        <v>46781</v>
      </c>
      <c r="H34" s="2">
        <f t="shared" ca="1" si="7"/>
        <v>174</v>
      </c>
      <c r="I34" s="2">
        <f t="shared" ca="1" si="3"/>
        <v>166</v>
      </c>
      <c r="J34" s="2">
        <f t="shared" ca="1" si="8"/>
        <v>8</v>
      </c>
      <c r="K34" s="2" t="str">
        <f ca="1">INDEX(Данные!$D$1:$D$5, RANDBETWEEN(1,5))</f>
        <v>органик лайн</v>
      </c>
      <c r="L34" s="7">
        <f t="shared" ca="1" si="4"/>
        <v>45706</v>
      </c>
      <c r="M34" s="23">
        <f t="shared" ca="1" si="5"/>
        <v>45706</v>
      </c>
      <c r="N34" s="28">
        <f t="shared" ca="1" si="6"/>
        <v>776880</v>
      </c>
    </row>
    <row r="35" spans="1:14" x14ac:dyDescent="0.3">
      <c r="A35" s="4">
        <v>33</v>
      </c>
      <c r="B35" s="3" t="str">
        <f ca="1">INDEX(Данные!$A$1:$A$10, RANDBETWEEN(1,10))</f>
        <v>Kiko</v>
      </c>
      <c r="C35" s="19" t="str">
        <f ca="1">INDEX(Данные!$B$1:$B$10, RANDBETWEEN(1,10))</f>
        <v>консилер</v>
      </c>
      <c r="D35" s="18">
        <f ca="1">INDEX(Данные!$C$1:$C$6, RANDBETWEEN(1,6))</f>
        <v>50</v>
      </c>
      <c r="E35" s="2">
        <f t="shared" ca="1" si="0"/>
        <v>4555</v>
      </c>
      <c r="F35" s="8">
        <f t="shared" ca="1" si="1"/>
        <v>45645</v>
      </c>
      <c r="G35" s="7">
        <f t="shared" ca="1" si="2"/>
        <v>46740</v>
      </c>
      <c r="H35" s="2">
        <f t="shared" ca="1" si="7"/>
        <v>299</v>
      </c>
      <c r="I35" s="2">
        <f t="shared" ca="1" si="3"/>
        <v>14</v>
      </c>
      <c r="J35" s="2">
        <f t="shared" ca="1" si="8"/>
        <v>285</v>
      </c>
      <c r="K35" s="2" t="str">
        <f ca="1">INDEX(Данные!$D$1:$D$5, RANDBETWEEN(1,5))</f>
        <v>Соландра косметикс</v>
      </c>
      <c r="L35" s="7">
        <f t="shared" ca="1" si="4"/>
        <v>45672</v>
      </c>
      <c r="M35" s="23">
        <f t="shared" ca="1" si="5"/>
        <v>45690</v>
      </c>
      <c r="N35" s="28">
        <f t="shared" ca="1" si="6"/>
        <v>63770</v>
      </c>
    </row>
    <row r="36" spans="1:14" ht="15" thickBot="1" x14ac:dyDescent="0.35">
      <c r="A36" s="5">
        <v>34</v>
      </c>
      <c r="B36" s="20" t="str">
        <f ca="1">INDEX(Данные!$A$1:$A$10, RANDBETWEEN(1,10))</f>
        <v>Gosh</v>
      </c>
      <c r="C36" s="21" t="str">
        <f ca="1">INDEX(Данные!$B$1:$B$10, RANDBETWEEN(1,10))</f>
        <v>тональная основа</v>
      </c>
      <c r="D36" s="22">
        <f ca="1">INDEX(Данные!$C$1:$C$6, RANDBETWEEN(1,6))</f>
        <v>10</v>
      </c>
      <c r="E36" s="6">
        <f t="shared" ca="1" si="0"/>
        <v>1659</v>
      </c>
      <c r="F36" s="14">
        <f t="shared" ca="1" si="1"/>
        <v>45490</v>
      </c>
      <c r="G36" s="15">
        <f t="shared" ca="1" si="2"/>
        <v>46585</v>
      </c>
      <c r="H36" s="6">
        <f t="shared" ca="1" si="7"/>
        <v>110</v>
      </c>
      <c r="I36" s="6">
        <f t="shared" ca="1" si="3"/>
        <v>88</v>
      </c>
      <c r="J36" s="6">
        <f t="shared" ca="1" si="8"/>
        <v>22</v>
      </c>
      <c r="K36" s="21" t="str">
        <f ca="1">INDEX(Данные!$D$1:$D$5, RANDBETWEEN(1,5))</f>
        <v>Соландра косметикс</v>
      </c>
      <c r="L36" s="15">
        <f t="shared" ca="1" si="4"/>
        <v>45608</v>
      </c>
      <c r="M36" s="24">
        <f t="shared" ca="1" si="5"/>
        <v>45652</v>
      </c>
      <c r="N36" s="29">
        <f t="shared" ca="1" si="6"/>
        <v>145992</v>
      </c>
    </row>
  </sheetData>
  <mergeCells count="14">
    <mergeCell ref="N1:N2"/>
    <mergeCell ref="A1:A2"/>
    <mergeCell ref="D1:D2"/>
    <mergeCell ref="E1:E2"/>
    <mergeCell ref="M1:M2"/>
    <mergeCell ref="B1:B2"/>
    <mergeCell ref="C1:C2"/>
    <mergeCell ref="K1:K2"/>
    <mergeCell ref="L1:L2"/>
    <mergeCell ref="G1:G2"/>
    <mergeCell ref="F1:F2"/>
    <mergeCell ref="H1:H2"/>
    <mergeCell ref="I1:I2"/>
    <mergeCell ref="J1:J2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8563-1206-4307-8CD1-48D64E9B2F35}">
  <dimension ref="A1:N36"/>
  <sheetViews>
    <sheetView zoomScale="82" zoomScaleNormal="82" workbookViewId="0">
      <selection activeCell="M1" sqref="M1:M1048576"/>
    </sheetView>
  </sheetViews>
  <sheetFormatPr defaultRowHeight="14.4" x14ac:dyDescent="0.3"/>
  <cols>
    <col min="1" max="1" width="8.6640625" style="1" customWidth="1"/>
    <col min="2" max="2" width="18.88671875" customWidth="1"/>
    <col min="3" max="3" width="20.109375" customWidth="1"/>
    <col min="4" max="8" width="12.6640625" customWidth="1"/>
    <col min="11" max="11" width="16.33203125" customWidth="1"/>
    <col min="12" max="12" width="17.6640625" customWidth="1"/>
    <col min="13" max="13" width="15.6640625" customWidth="1"/>
  </cols>
  <sheetData>
    <row r="1" spans="1:14" ht="15" customHeight="1" x14ac:dyDescent="0.3">
      <c r="A1" s="32" t="s">
        <v>8</v>
      </c>
      <c r="B1" s="34" t="s">
        <v>4</v>
      </c>
      <c r="C1" s="34" t="s">
        <v>5</v>
      </c>
      <c r="D1" s="34" t="s">
        <v>6</v>
      </c>
      <c r="E1" s="34" t="s">
        <v>0</v>
      </c>
      <c r="F1" s="40" t="s">
        <v>34</v>
      </c>
      <c r="G1" s="38" t="s">
        <v>7</v>
      </c>
      <c r="H1" s="42" t="s">
        <v>35</v>
      </c>
      <c r="I1" s="42" t="s">
        <v>36</v>
      </c>
      <c r="J1" s="42" t="s">
        <v>37</v>
      </c>
      <c r="K1" s="34" t="s">
        <v>1</v>
      </c>
      <c r="L1" s="34" t="s">
        <v>2</v>
      </c>
      <c r="M1" s="36" t="s">
        <v>3</v>
      </c>
      <c r="N1" s="30" t="s">
        <v>38</v>
      </c>
    </row>
    <row r="2" spans="1:14" ht="15" thickBot="1" x14ac:dyDescent="0.35">
      <c r="A2" s="33"/>
      <c r="B2" s="35"/>
      <c r="C2" s="35"/>
      <c r="D2" s="35"/>
      <c r="E2" s="35"/>
      <c r="F2" s="41"/>
      <c r="G2" s="39"/>
      <c r="H2" s="43"/>
      <c r="I2" s="43"/>
      <c r="J2" s="43"/>
      <c r="K2" s="35"/>
      <c r="L2" s="35"/>
      <c r="M2" s="37"/>
      <c r="N2" s="31"/>
    </row>
    <row r="3" spans="1:14" x14ac:dyDescent="0.3">
      <c r="A3" s="9">
        <v>1</v>
      </c>
      <c r="B3" s="11" t="str">
        <f ca="1">INDEX(Данные!$A$1:$A$10, RANDBETWEEN(1,10))</f>
        <v>Clarins</v>
      </c>
      <c r="C3" s="10" t="str">
        <f ca="1">INDEX(Данные!$B$1:$B$10, RANDBETWEEN(1,10))</f>
        <v>блеск для губ</v>
      </c>
      <c r="D3" s="25">
        <f ca="1">INDEX(Данные!$C$1:$C$6, RANDBETWEEN(1,6))</f>
        <v>15</v>
      </c>
      <c r="E3" s="10">
        <f ca="1">RANDBETWEEN(600,5000)</f>
        <v>4813</v>
      </c>
      <c r="F3" s="12">
        <f ca="1">RANDBETWEEN(DATE(2024,2,15),DATE(2025,2,15))</f>
        <v>45701</v>
      </c>
      <c r="G3" s="13">
        <f ca="1">F3+365*3</f>
        <v>46796</v>
      </c>
      <c r="H3" s="10">
        <f ca="1">RANDBETWEEN(50,500)</f>
        <v>445</v>
      </c>
      <c r="I3" s="10">
        <f ca="1">H3-J3</f>
        <v>123</v>
      </c>
      <c r="J3" s="10">
        <f ca="1">RANDBETWEEN(0,H3)</f>
        <v>322</v>
      </c>
      <c r="K3" s="10" t="str">
        <f ca="1">INDEX(Данные!$D$1:$D$5, RANDBETWEEN(1,5))</f>
        <v>мир красоты</v>
      </c>
      <c r="L3" s="13">
        <f ca="1">RANDBETWEEN(F3,DATE(2025,2,19))</f>
        <v>45704</v>
      </c>
      <c r="M3" s="26">
        <f ca="1">RANDBETWEEN(L3,DATE(2025,2,19))</f>
        <v>45706</v>
      </c>
      <c r="N3" s="27">
        <f ca="1">E3*I3</f>
        <v>591999</v>
      </c>
    </row>
    <row r="4" spans="1:14" x14ac:dyDescent="0.3">
      <c r="A4" s="4">
        <v>2</v>
      </c>
      <c r="B4" s="3" t="str">
        <f ca="1">INDEX(Данные!$A$1:$A$10, RANDBETWEEN(1,10))</f>
        <v>Vichy</v>
      </c>
      <c r="C4" s="19" t="str">
        <f ca="1">INDEX(Данные!$B$1:$B$10, RANDBETWEEN(1,10))</f>
        <v>тушь</v>
      </c>
      <c r="D4" s="18">
        <f ca="1">INDEX(Данные!$C$1:$C$6, RANDBETWEEN(1,6))</f>
        <v>50</v>
      </c>
      <c r="E4" s="2">
        <f t="shared" ref="E4:E36" ca="1" si="0">RANDBETWEEN(600,5000)</f>
        <v>4151</v>
      </c>
      <c r="F4" s="8">
        <f t="shared" ref="F4:F36" ca="1" si="1">RANDBETWEEN(DATE(2024,2,15),DATE(2025,2,15))</f>
        <v>45342</v>
      </c>
      <c r="G4" s="7">
        <f t="shared" ref="G4:G36" ca="1" si="2">F4+365*3</f>
        <v>46437</v>
      </c>
      <c r="H4" s="2">
        <f ca="1">RANDBETWEEN(50,300)</f>
        <v>149</v>
      </c>
      <c r="I4" s="2">
        <f t="shared" ref="I4:I36" ca="1" si="3">H4-J4</f>
        <v>142</v>
      </c>
      <c r="J4" s="2">
        <f ca="1">RANDBETWEEN(0,H4)</f>
        <v>7</v>
      </c>
      <c r="K4" s="2" t="str">
        <f ca="1">INDEX(Данные!$D$1:$D$5, RANDBETWEEN(1,5))</f>
        <v>Соландра косметикс</v>
      </c>
      <c r="L4" s="7">
        <f t="shared" ref="L4:L36" ca="1" si="4">RANDBETWEEN(F4,DATE(2025,2,19))</f>
        <v>45522</v>
      </c>
      <c r="M4" s="23">
        <f t="shared" ref="M4:M36" ca="1" si="5">RANDBETWEEN(L4,DATE(2025,2,19))</f>
        <v>45692</v>
      </c>
      <c r="N4" s="28">
        <f t="shared" ref="N4:N36" ca="1" si="6">E4*I4</f>
        <v>589442</v>
      </c>
    </row>
    <row r="5" spans="1:14" x14ac:dyDescent="0.3">
      <c r="A5" s="4">
        <v>3</v>
      </c>
      <c r="B5" s="3" t="str">
        <f ca="1">INDEX(Данные!$A$1:$A$10, RANDBETWEEN(1,10))</f>
        <v>Clarins</v>
      </c>
      <c r="C5" s="19" t="str">
        <f ca="1">INDEX(Данные!$B$1:$B$10, RANDBETWEEN(1,10))</f>
        <v>хайлайтер</v>
      </c>
      <c r="D5" s="18">
        <f ca="1">INDEX(Данные!$C$1:$C$6, RANDBETWEEN(1,6))</f>
        <v>10</v>
      </c>
      <c r="E5" s="2">
        <f t="shared" ca="1" si="0"/>
        <v>602</v>
      </c>
      <c r="F5" s="8">
        <f t="shared" ca="1" si="1"/>
        <v>45672</v>
      </c>
      <c r="G5" s="7">
        <f t="shared" ca="1" si="2"/>
        <v>46767</v>
      </c>
      <c r="H5" s="2">
        <f t="shared" ref="H5:H36" ca="1" si="7">RANDBETWEEN(50,300)</f>
        <v>229</v>
      </c>
      <c r="I5" s="2">
        <f t="shared" ca="1" si="3"/>
        <v>14</v>
      </c>
      <c r="J5" s="2">
        <f ca="1">RANDBETWEEN(0,H5)</f>
        <v>215</v>
      </c>
      <c r="K5" s="2" t="str">
        <f ca="1">INDEX(Данные!$D$1:$D$5, RANDBETWEEN(1,5))</f>
        <v>мир красоты</v>
      </c>
      <c r="L5" s="7">
        <f t="shared" ca="1" si="4"/>
        <v>45674</v>
      </c>
      <c r="M5" s="23">
        <f t="shared" ca="1" si="5"/>
        <v>45694</v>
      </c>
      <c r="N5" s="28">
        <f t="shared" ca="1" si="6"/>
        <v>8428</v>
      </c>
    </row>
    <row r="6" spans="1:14" x14ac:dyDescent="0.3">
      <c r="A6" s="4">
        <v>4</v>
      </c>
      <c r="B6" s="3" t="str">
        <f ca="1">INDEX(Данные!$A$1:$A$10, RANDBETWEEN(1,10))</f>
        <v>Loreal Paris</v>
      </c>
      <c r="C6" s="19" t="str">
        <f ca="1">INDEX(Данные!$B$1:$B$10, RANDBETWEEN(1,10))</f>
        <v>хайлайтер</v>
      </c>
      <c r="D6" s="18">
        <f ca="1">INDEX(Данные!$C$1:$C$6, RANDBETWEEN(1,6))</f>
        <v>50</v>
      </c>
      <c r="E6" s="2">
        <f t="shared" ca="1" si="0"/>
        <v>776</v>
      </c>
      <c r="F6" s="8">
        <f t="shared" ca="1" si="1"/>
        <v>45509</v>
      </c>
      <c r="G6" s="7">
        <f t="shared" ca="1" si="2"/>
        <v>46604</v>
      </c>
      <c r="H6" s="2">
        <f t="shared" ca="1" si="7"/>
        <v>110</v>
      </c>
      <c r="I6" s="2">
        <f t="shared" ca="1" si="3"/>
        <v>67</v>
      </c>
      <c r="J6" s="2">
        <f t="shared" ref="J6:J36" ca="1" si="8">RANDBETWEEN(0,H6)</f>
        <v>43</v>
      </c>
      <c r="K6" s="2" t="str">
        <f ca="1">INDEX(Данные!$D$1:$D$5, RANDBETWEEN(1,5))</f>
        <v>Пантикка</v>
      </c>
      <c r="L6" s="7">
        <f t="shared" ca="1" si="4"/>
        <v>45612</v>
      </c>
      <c r="M6" s="23">
        <f t="shared" ca="1" si="5"/>
        <v>45698</v>
      </c>
      <c r="N6" s="28">
        <f t="shared" ca="1" si="6"/>
        <v>51992</v>
      </c>
    </row>
    <row r="7" spans="1:14" x14ac:dyDescent="0.3">
      <c r="A7" s="4">
        <v>5</v>
      </c>
      <c r="B7" s="3" t="str">
        <f ca="1">INDEX(Данные!$A$1:$A$10, RANDBETWEEN(1,10))</f>
        <v>Kiko</v>
      </c>
      <c r="C7" s="19" t="str">
        <f ca="1">INDEX(Данные!$B$1:$B$10, RANDBETWEEN(1,10))</f>
        <v>консилер</v>
      </c>
      <c r="D7" s="18">
        <f ca="1">INDEX(Данные!$C$1:$C$6, RANDBETWEEN(1,6))</f>
        <v>30</v>
      </c>
      <c r="E7" s="2">
        <f t="shared" ca="1" si="0"/>
        <v>1268</v>
      </c>
      <c r="F7" s="8">
        <f t="shared" ca="1" si="1"/>
        <v>45513</v>
      </c>
      <c r="G7" s="7">
        <f t="shared" ca="1" si="2"/>
        <v>46608</v>
      </c>
      <c r="H7" s="2">
        <f t="shared" ca="1" si="7"/>
        <v>227</v>
      </c>
      <c r="I7" s="2">
        <f t="shared" ca="1" si="3"/>
        <v>151</v>
      </c>
      <c r="J7" s="2">
        <f t="shared" ca="1" si="8"/>
        <v>76</v>
      </c>
      <c r="K7" s="2" t="str">
        <f ca="1">INDEX(Данные!$D$1:$D$5, RANDBETWEEN(1,5))</f>
        <v>Пантикка</v>
      </c>
      <c r="L7" s="7">
        <f t="shared" ca="1" si="4"/>
        <v>45616</v>
      </c>
      <c r="M7" s="23">
        <f t="shared" ca="1" si="5"/>
        <v>45665</v>
      </c>
      <c r="N7" s="28">
        <f t="shared" ca="1" si="6"/>
        <v>191468</v>
      </c>
    </row>
    <row r="8" spans="1:14" x14ac:dyDescent="0.3">
      <c r="A8" s="4">
        <v>6</v>
      </c>
      <c r="B8" s="3" t="str">
        <f ca="1">INDEX(Данные!$A$1:$A$10, RANDBETWEEN(1,10))</f>
        <v>Maybelline</v>
      </c>
      <c r="C8" s="19" t="str">
        <f ca="1">INDEX(Данные!$B$1:$B$10, RANDBETWEEN(1,10))</f>
        <v>пенка для умывания</v>
      </c>
      <c r="D8" s="18">
        <f ca="1">INDEX(Данные!$C$1:$C$6, RANDBETWEEN(1,6))</f>
        <v>15</v>
      </c>
      <c r="E8" s="2">
        <f t="shared" ca="1" si="0"/>
        <v>2358</v>
      </c>
      <c r="F8" s="8">
        <f t="shared" ca="1" si="1"/>
        <v>45628</v>
      </c>
      <c r="G8" s="7">
        <f t="shared" ca="1" si="2"/>
        <v>46723</v>
      </c>
      <c r="H8" s="2">
        <f t="shared" ca="1" si="7"/>
        <v>196</v>
      </c>
      <c r="I8" s="2">
        <f t="shared" ca="1" si="3"/>
        <v>70</v>
      </c>
      <c r="J8" s="2">
        <f t="shared" ca="1" si="8"/>
        <v>126</v>
      </c>
      <c r="K8" s="2" t="str">
        <f ca="1">INDEX(Данные!$D$1:$D$5, RANDBETWEEN(1,5))</f>
        <v>Соландра косметикс</v>
      </c>
      <c r="L8" s="7">
        <f t="shared" ca="1" si="4"/>
        <v>45696</v>
      </c>
      <c r="M8" s="23">
        <f t="shared" ca="1" si="5"/>
        <v>45706</v>
      </c>
      <c r="N8" s="28">
        <f t="shared" ca="1" si="6"/>
        <v>165060</v>
      </c>
    </row>
    <row r="9" spans="1:14" x14ac:dyDescent="0.3">
      <c r="A9" s="4">
        <v>7</v>
      </c>
      <c r="B9" s="3" t="str">
        <f ca="1">INDEX(Данные!$A$1:$A$10, RANDBETWEEN(1,10))</f>
        <v>Loreal Paris</v>
      </c>
      <c r="C9" s="19" t="str">
        <f ca="1">INDEX(Данные!$B$1:$B$10, RANDBETWEEN(1,10))</f>
        <v>помада</v>
      </c>
      <c r="D9" s="18">
        <f ca="1">INDEX(Данные!$C$1:$C$6, RANDBETWEEN(1,6))</f>
        <v>30</v>
      </c>
      <c r="E9" s="2">
        <f t="shared" ca="1" si="0"/>
        <v>1683</v>
      </c>
      <c r="F9" s="8">
        <f t="shared" ca="1" si="1"/>
        <v>45653</v>
      </c>
      <c r="G9" s="7">
        <f t="shared" ca="1" si="2"/>
        <v>46748</v>
      </c>
      <c r="H9" s="2">
        <f t="shared" ca="1" si="7"/>
        <v>132</v>
      </c>
      <c r="I9" s="2">
        <f t="shared" ca="1" si="3"/>
        <v>78</v>
      </c>
      <c r="J9" s="2">
        <f t="shared" ca="1" si="8"/>
        <v>54</v>
      </c>
      <c r="K9" s="2" t="str">
        <f ca="1">INDEX(Данные!$D$1:$D$5, RANDBETWEEN(1,5))</f>
        <v>Пантикка</v>
      </c>
      <c r="L9" s="7">
        <f t="shared" ca="1" si="4"/>
        <v>45676</v>
      </c>
      <c r="M9" s="23">
        <f t="shared" ca="1" si="5"/>
        <v>45691</v>
      </c>
      <c r="N9" s="28">
        <f t="shared" ca="1" si="6"/>
        <v>131274</v>
      </c>
    </row>
    <row r="10" spans="1:14" x14ac:dyDescent="0.3">
      <c r="A10" s="4">
        <v>8</v>
      </c>
      <c r="B10" s="3" t="str">
        <f ca="1">INDEX(Данные!$A$1:$A$10, RANDBETWEEN(1,10))</f>
        <v>Essence</v>
      </c>
      <c r="C10" s="19" t="str">
        <f ca="1">INDEX(Данные!$B$1:$B$10, RANDBETWEEN(1,10))</f>
        <v>консилер</v>
      </c>
      <c r="D10" s="18">
        <f ca="1">INDEX(Данные!$C$1:$C$6, RANDBETWEEN(1,6))</f>
        <v>20</v>
      </c>
      <c r="E10" s="2">
        <f t="shared" ca="1" si="0"/>
        <v>2670</v>
      </c>
      <c r="F10" s="8">
        <f t="shared" ca="1" si="1"/>
        <v>45635</v>
      </c>
      <c r="G10" s="7">
        <f t="shared" ca="1" si="2"/>
        <v>46730</v>
      </c>
      <c r="H10" s="2">
        <f t="shared" ca="1" si="7"/>
        <v>192</v>
      </c>
      <c r="I10" s="2">
        <f t="shared" ca="1" si="3"/>
        <v>162</v>
      </c>
      <c r="J10" s="2">
        <f t="shared" ca="1" si="8"/>
        <v>30</v>
      </c>
      <c r="K10" s="2" t="str">
        <f ca="1">INDEX(Данные!$D$1:$D$5, RANDBETWEEN(1,5))</f>
        <v>Соландра косметикс</v>
      </c>
      <c r="L10" s="7">
        <f t="shared" ca="1" si="4"/>
        <v>45707</v>
      </c>
      <c r="M10" s="23">
        <f t="shared" ca="1" si="5"/>
        <v>45707</v>
      </c>
      <c r="N10" s="28">
        <f t="shared" ca="1" si="6"/>
        <v>432540</v>
      </c>
    </row>
    <row r="11" spans="1:14" x14ac:dyDescent="0.3">
      <c r="A11" s="4">
        <v>9</v>
      </c>
      <c r="B11" s="3" t="str">
        <f ca="1">INDEX(Данные!$A$1:$A$10, RANDBETWEEN(1,10))</f>
        <v>Maybelline</v>
      </c>
      <c r="C11" s="19" t="str">
        <f ca="1">INDEX(Данные!$B$1:$B$10, RANDBETWEEN(1,10))</f>
        <v>праймер</v>
      </c>
      <c r="D11" s="18">
        <f ca="1">INDEX(Данные!$C$1:$C$6, RANDBETWEEN(1,6))</f>
        <v>15</v>
      </c>
      <c r="E11" s="2">
        <f t="shared" ca="1" si="0"/>
        <v>977</v>
      </c>
      <c r="F11" s="8">
        <f t="shared" ca="1" si="1"/>
        <v>45606</v>
      </c>
      <c r="G11" s="7">
        <f t="shared" ca="1" si="2"/>
        <v>46701</v>
      </c>
      <c r="H11" s="2">
        <f t="shared" ca="1" si="7"/>
        <v>64</v>
      </c>
      <c r="I11" s="2">
        <f t="shared" ca="1" si="3"/>
        <v>14</v>
      </c>
      <c r="J11" s="2">
        <f t="shared" ca="1" si="8"/>
        <v>50</v>
      </c>
      <c r="K11" s="2" t="str">
        <f ca="1">INDEX(Данные!$D$1:$D$5, RANDBETWEEN(1,5))</f>
        <v>Пантикка</v>
      </c>
      <c r="L11" s="7">
        <f t="shared" ca="1" si="4"/>
        <v>45655</v>
      </c>
      <c r="M11" s="23">
        <f t="shared" ca="1" si="5"/>
        <v>45687</v>
      </c>
      <c r="N11" s="28">
        <f t="shared" ca="1" si="6"/>
        <v>13678</v>
      </c>
    </row>
    <row r="12" spans="1:14" x14ac:dyDescent="0.3">
      <c r="A12" s="4">
        <v>10</v>
      </c>
      <c r="B12" s="3" t="str">
        <f ca="1">INDEX(Данные!$A$1:$A$10, RANDBETWEEN(1,10))</f>
        <v>Kiko</v>
      </c>
      <c r="C12" s="19" t="str">
        <f ca="1">INDEX(Данные!$B$1:$B$10, RANDBETWEEN(1,10))</f>
        <v>пенка для умывания</v>
      </c>
      <c r="D12" s="18">
        <f ca="1">INDEX(Данные!$C$1:$C$6, RANDBETWEEN(1,6))</f>
        <v>50</v>
      </c>
      <c r="E12" s="2">
        <f t="shared" ca="1" si="0"/>
        <v>3634</v>
      </c>
      <c r="F12" s="8">
        <f t="shared" ca="1" si="1"/>
        <v>45701</v>
      </c>
      <c r="G12" s="7">
        <f t="shared" ca="1" si="2"/>
        <v>46796</v>
      </c>
      <c r="H12" s="2">
        <f t="shared" ca="1" si="7"/>
        <v>69</v>
      </c>
      <c r="I12" s="2">
        <f t="shared" ca="1" si="3"/>
        <v>42</v>
      </c>
      <c r="J12" s="2">
        <f t="shared" ca="1" si="8"/>
        <v>27</v>
      </c>
      <c r="K12" s="2" t="str">
        <f ca="1">INDEX(Данные!$D$1:$D$5, RANDBETWEEN(1,5))</f>
        <v>мир красоты</v>
      </c>
      <c r="L12" s="7">
        <f t="shared" ca="1" si="4"/>
        <v>45701</v>
      </c>
      <c r="M12" s="23">
        <f t="shared" ca="1" si="5"/>
        <v>45705</v>
      </c>
      <c r="N12" s="28">
        <f t="shared" ca="1" si="6"/>
        <v>152628</v>
      </c>
    </row>
    <row r="13" spans="1:14" x14ac:dyDescent="0.3">
      <c r="A13" s="4">
        <v>11</v>
      </c>
      <c r="B13" s="3" t="str">
        <f ca="1">INDEX(Данные!$A$1:$A$10, RANDBETWEEN(1,10))</f>
        <v>Clinique</v>
      </c>
      <c r="C13" s="19" t="str">
        <f ca="1">INDEX(Данные!$B$1:$B$10, RANDBETWEEN(1,10))</f>
        <v>помада</v>
      </c>
      <c r="D13" s="18">
        <f ca="1">INDEX(Данные!$C$1:$C$6, RANDBETWEEN(1,6))</f>
        <v>50</v>
      </c>
      <c r="E13" s="2">
        <f t="shared" ca="1" si="0"/>
        <v>1567</v>
      </c>
      <c r="F13" s="8">
        <f t="shared" ca="1" si="1"/>
        <v>45390</v>
      </c>
      <c r="G13" s="7">
        <f t="shared" ca="1" si="2"/>
        <v>46485</v>
      </c>
      <c r="H13" s="2">
        <f t="shared" ca="1" si="7"/>
        <v>218</v>
      </c>
      <c r="I13" s="2">
        <f t="shared" ca="1" si="3"/>
        <v>119</v>
      </c>
      <c r="J13" s="2">
        <f t="shared" ca="1" si="8"/>
        <v>99</v>
      </c>
      <c r="K13" s="2" t="str">
        <f ca="1">INDEX(Данные!$D$1:$D$5, RANDBETWEEN(1,5))</f>
        <v>мир красоты</v>
      </c>
      <c r="L13" s="7">
        <f t="shared" ca="1" si="4"/>
        <v>45507</v>
      </c>
      <c r="M13" s="23">
        <f t="shared" ca="1" si="5"/>
        <v>45600</v>
      </c>
      <c r="N13" s="28">
        <f t="shared" ca="1" si="6"/>
        <v>186473</v>
      </c>
    </row>
    <row r="14" spans="1:14" x14ac:dyDescent="0.3">
      <c r="A14" s="4">
        <v>12</v>
      </c>
      <c r="B14" s="3" t="str">
        <f ca="1">INDEX(Данные!$A$1:$A$10, RANDBETWEEN(1,10))</f>
        <v>CeraVe</v>
      </c>
      <c r="C14" s="19" t="str">
        <f ca="1">INDEX(Данные!$B$1:$B$10, RANDBETWEEN(1,10))</f>
        <v>тональная основа</v>
      </c>
      <c r="D14" s="18">
        <f ca="1">INDEX(Данные!$C$1:$C$6, RANDBETWEEN(1,6))</f>
        <v>50</v>
      </c>
      <c r="E14" s="2">
        <f t="shared" ca="1" si="0"/>
        <v>748</v>
      </c>
      <c r="F14" s="8">
        <f t="shared" ca="1" si="1"/>
        <v>45477</v>
      </c>
      <c r="G14" s="7">
        <f t="shared" ca="1" si="2"/>
        <v>46572</v>
      </c>
      <c r="H14" s="2">
        <f t="shared" ca="1" si="7"/>
        <v>154</v>
      </c>
      <c r="I14" s="2">
        <f t="shared" ca="1" si="3"/>
        <v>119</v>
      </c>
      <c r="J14" s="2">
        <f t="shared" ca="1" si="8"/>
        <v>35</v>
      </c>
      <c r="K14" s="2" t="str">
        <f ca="1">INDEX(Данные!$D$1:$D$5, RANDBETWEEN(1,5))</f>
        <v>Соландра косметикс</v>
      </c>
      <c r="L14" s="7">
        <f t="shared" ca="1" si="4"/>
        <v>45514</v>
      </c>
      <c r="M14" s="23">
        <f t="shared" ca="1" si="5"/>
        <v>45555</v>
      </c>
      <c r="N14" s="28">
        <f t="shared" ca="1" si="6"/>
        <v>89012</v>
      </c>
    </row>
    <row r="15" spans="1:14" x14ac:dyDescent="0.3">
      <c r="A15" s="4">
        <v>13</v>
      </c>
      <c r="B15" s="3" t="str">
        <f ca="1">INDEX(Данные!$A$1:$A$10, RANDBETWEEN(1,10))</f>
        <v>Essence</v>
      </c>
      <c r="C15" s="19" t="str">
        <f ca="1">INDEX(Данные!$B$1:$B$10, RANDBETWEEN(1,10))</f>
        <v>пенка для умывания</v>
      </c>
      <c r="D15" s="18">
        <f ca="1">INDEX(Данные!$C$1:$C$6, RANDBETWEEN(1,6))</f>
        <v>10</v>
      </c>
      <c r="E15" s="2">
        <f t="shared" ca="1" si="0"/>
        <v>2819</v>
      </c>
      <c r="F15" s="8">
        <f t="shared" ca="1" si="1"/>
        <v>45509</v>
      </c>
      <c r="G15" s="7">
        <f t="shared" ca="1" si="2"/>
        <v>46604</v>
      </c>
      <c r="H15" s="2">
        <f t="shared" ca="1" si="7"/>
        <v>182</v>
      </c>
      <c r="I15" s="2">
        <f t="shared" ca="1" si="3"/>
        <v>139</v>
      </c>
      <c r="J15" s="2">
        <f t="shared" ca="1" si="8"/>
        <v>43</v>
      </c>
      <c r="K15" s="2" t="str">
        <f ca="1">INDEX(Данные!$D$1:$D$5, RANDBETWEEN(1,5))</f>
        <v>органик лайн</v>
      </c>
      <c r="L15" s="7">
        <f t="shared" ca="1" si="4"/>
        <v>45524</v>
      </c>
      <c r="M15" s="23">
        <f t="shared" ca="1" si="5"/>
        <v>45651</v>
      </c>
      <c r="N15" s="28">
        <f t="shared" ca="1" si="6"/>
        <v>391841</v>
      </c>
    </row>
    <row r="16" spans="1:14" x14ac:dyDescent="0.3">
      <c r="A16" s="4">
        <v>14</v>
      </c>
      <c r="B16" s="3" t="str">
        <f ca="1">INDEX(Данные!$A$1:$A$10, RANDBETWEEN(1,10))</f>
        <v>Gosh</v>
      </c>
      <c r="C16" s="19" t="str">
        <f ca="1">INDEX(Данные!$B$1:$B$10, RANDBETWEEN(1,10))</f>
        <v>тональная основа</v>
      </c>
      <c r="D16" s="18">
        <f ca="1">INDEX(Данные!$C$1:$C$6, RANDBETWEEN(1,6))</f>
        <v>100</v>
      </c>
      <c r="E16" s="2">
        <f t="shared" ca="1" si="0"/>
        <v>2044</v>
      </c>
      <c r="F16" s="8">
        <f t="shared" ca="1" si="1"/>
        <v>45512</v>
      </c>
      <c r="G16" s="7">
        <f t="shared" ca="1" si="2"/>
        <v>46607</v>
      </c>
      <c r="H16" s="2">
        <f t="shared" ca="1" si="7"/>
        <v>160</v>
      </c>
      <c r="I16" s="2">
        <f t="shared" ca="1" si="3"/>
        <v>51</v>
      </c>
      <c r="J16" s="2">
        <f t="shared" ca="1" si="8"/>
        <v>109</v>
      </c>
      <c r="K16" s="2" t="str">
        <f ca="1">INDEX(Данные!$D$1:$D$5, RANDBETWEEN(1,5))</f>
        <v>ИП Иванова</v>
      </c>
      <c r="L16" s="7">
        <f t="shared" ca="1" si="4"/>
        <v>45580</v>
      </c>
      <c r="M16" s="23">
        <f t="shared" ca="1" si="5"/>
        <v>45593</v>
      </c>
      <c r="N16" s="28">
        <f t="shared" ca="1" si="6"/>
        <v>104244</v>
      </c>
    </row>
    <row r="17" spans="1:14" x14ac:dyDescent="0.3">
      <c r="A17" s="4">
        <v>15</v>
      </c>
      <c r="B17" s="3" t="str">
        <f ca="1">INDEX(Данные!$A$1:$A$10, RANDBETWEEN(1,10))</f>
        <v>Maybelline</v>
      </c>
      <c r="C17" s="19" t="str">
        <f ca="1">INDEX(Данные!$B$1:$B$10, RANDBETWEEN(1,10))</f>
        <v>тушь</v>
      </c>
      <c r="D17" s="18">
        <f ca="1">INDEX(Данные!$C$1:$C$6, RANDBETWEEN(1,6))</f>
        <v>100</v>
      </c>
      <c r="E17" s="2">
        <f t="shared" ca="1" si="0"/>
        <v>903</v>
      </c>
      <c r="F17" s="8">
        <f t="shared" ca="1" si="1"/>
        <v>45366</v>
      </c>
      <c r="G17" s="7">
        <f t="shared" ca="1" si="2"/>
        <v>46461</v>
      </c>
      <c r="H17" s="2">
        <f t="shared" ca="1" si="7"/>
        <v>288</v>
      </c>
      <c r="I17" s="2">
        <f t="shared" ca="1" si="3"/>
        <v>203</v>
      </c>
      <c r="J17" s="2">
        <f t="shared" ca="1" si="8"/>
        <v>85</v>
      </c>
      <c r="K17" s="2" t="str">
        <f ca="1">INDEX(Данные!$D$1:$D$5, RANDBETWEEN(1,5))</f>
        <v>органик лайн</v>
      </c>
      <c r="L17" s="7">
        <f t="shared" ca="1" si="4"/>
        <v>45453</v>
      </c>
      <c r="M17" s="23">
        <f t="shared" ca="1" si="5"/>
        <v>45597</v>
      </c>
      <c r="N17" s="28">
        <f t="shared" ca="1" si="6"/>
        <v>183309</v>
      </c>
    </row>
    <row r="18" spans="1:14" x14ac:dyDescent="0.3">
      <c r="A18" s="4">
        <v>16</v>
      </c>
      <c r="B18" s="3" t="str">
        <f ca="1">INDEX(Данные!$A$1:$A$10, RANDBETWEEN(1,10))</f>
        <v>Loreal Paris</v>
      </c>
      <c r="C18" s="19" t="str">
        <f ca="1">INDEX(Данные!$B$1:$B$10, RANDBETWEEN(1,10))</f>
        <v>праймер</v>
      </c>
      <c r="D18" s="18">
        <f ca="1">INDEX(Данные!$C$1:$C$6, RANDBETWEEN(1,6))</f>
        <v>10</v>
      </c>
      <c r="E18" s="2">
        <f t="shared" ca="1" si="0"/>
        <v>676</v>
      </c>
      <c r="F18" s="8">
        <f t="shared" ca="1" si="1"/>
        <v>45425</v>
      </c>
      <c r="G18" s="7">
        <f t="shared" ca="1" si="2"/>
        <v>46520</v>
      </c>
      <c r="H18" s="2">
        <f t="shared" ca="1" si="7"/>
        <v>99</v>
      </c>
      <c r="I18" s="2">
        <f t="shared" ca="1" si="3"/>
        <v>37</v>
      </c>
      <c r="J18" s="2">
        <f t="shared" ca="1" si="8"/>
        <v>62</v>
      </c>
      <c r="K18" s="2" t="str">
        <f ca="1">INDEX(Данные!$D$1:$D$5, RANDBETWEEN(1,5))</f>
        <v>ИП Иванова</v>
      </c>
      <c r="L18" s="7">
        <f t="shared" ca="1" si="4"/>
        <v>45452</v>
      </c>
      <c r="M18" s="23">
        <f t="shared" ca="1" si="5"/>
        <v>45529</v>
      </c>
      <c r="N18" s="28">
        <f t="shared" ca="1" si="6"/>
        <v>25012</v>
      </c>
    </row>
    <row r="19" spans="1:14" x14ac:dyDescent="0.3">
      <c r="A19" s="4">
        <v>17</v>
      </c>
      <c r="B19" s="3" t="str">
        <f ca="1">INDEX(Данные!$A$1:$A$10, RANDBETWEEN(1,10))</f>
        <v>Gosh</v>
      </c>
      <c r="C19" s="19" t="str">
        <f ca="1">INDEX(Данные!$B$1:$B$10, RANDBETWEEN(1,10))</f>
        <v>помада</v>
      </c>
      <c r="D19" s="18">
        <f ca="1">INDEX(Данные!$C$1:$C$6, RANDBETWEEN(1,6))</f>
        <v>15</v>
      </c>
      <c r="E19" s="2">
        <f t="shared" ca="1" si="0"/>
        <v>1074</v>
      </c>
      <c r="F19" s="8">
        <f t="shared" ca="1" si="1"/>
        <v>45670</v>
      </c>
      <c r="G19" s="7">
        <f t="shared" ca="1" si="2"/>
        <v>46765</v>
      </c>
      <c r="H19" s="2">
        <f t="shared" ca="1" si="7"/>
        <v>250</v>
      </c>
      <c r="I19" s="2">
        <f t="shared" ca="1" si="3"/>
        <v>245</v>
      </c>
      <c r="J19" s="2">
        <f t="shared" ca="1" si="8"/>
        <v>5</v>
      </c>
      <c r="K19" s="2" t="str">
        <f ca="1">INDEX(Данные!$D$1:$D$5, RANDBETWEEN(1,5))</f>
        <v>Пантикка</v>
      </c>
      <c r="L19" s="7">
        <f t="shared" ca="1" si="4"/>
        <v>45673</v>
      </c>
      <c r="M19" s="23">
        <f t="shared" ca="1" si="5"/>
        <v>45674</v>
      </c>
      <c r="N19" s="28">
        <f t="shared" ca="1" si="6"/>
        <v>263130</v>
      </c>
    </row>
    <row r="20" spans="1:14" x14ac:dyDescent="0.3">
      <c r="A20" s="4">
        <v>18</v>
      </c>
      <c r="B20" s="3" t="str">
        <f ca="1">INDEX(Данные!$A$1:$A$10, RANDBETWEEN(1,10))</f>
        <v>Kiko</v>
      </c>
      <c r="C20" s="19" t="str">
        <f ca="1">INDEX(Данные!$B$1:$B$10, RANDBETWEEN(1,10))</f>
        <v>пенка для умывания</v>
      </c>
      <c r="D20" s="18">
        <f ca="1">INDEX(Данные!$C$1:$C$6, RANDBETWEEN(1,6))</f>
        <v>20</v>
      </c>
      <c r="E20" s="2">
        <f t="shared" ca="1" si="0"/>
        <v>1775</v>
      </c>
      <c r="F20" s="8">
        <f t="shared" ca="1" si="1"/>
        <v>45402</v>
      </c>
      <c r="G20" s="7">
        <f t="shared" ca="1" si="2"/>
        <v>46497</v>
      </c>
      <c r="H20" s="2">
        <f t="shared" ca="1" si="7"/>
        <v>239</v>
      </c>
      <c r="I20" s="2">
        <f t="shared" ca="1" si="3"/>
        <v>237</v>
      </c>
      <c r="J20" s="2">
        <f t="shared" ca="1" si="8"/>
        <v>2</v>
      </c>
      <c r="K20" s="2" t="str">
        <f ca="1">INDEX(Данные!$D$1:$D$5, RANDBETWEEN(1,5))</f>
        <v>Пантикка</v>
      </c>
      <c r="L20" s="7">
        <f t="shared" ca="1" si="4"/>
        <v>45518</v>
      </c>
      <c r="M20" s="23">
        <f t="shared" ca="1" si="5"/>
        <v>45630</v>
      </c>
      <c r="N20" s="28">
        <f t="shared" ca="1" si="6"/>
        <v>420675</v>
      </c>
    </row>
    <row r="21" spans="1:14" x14ac:dyDescent="0.3">
      <c r="A21" s="4">
        <v>19</v>
      </c>
      <c r="B21" s="3" t="str">
        <f ca="1">INDEX(Данные!$A$1:$A$10, RANDBETWEEN(1,10))</f>
        <v>NYX</v>
      </c>
      <c r="C21" s="19" t="str">
        <f ca="1">INDEX(Данные!$B$1:$B$10, RANDBETWEEN(1,10))</f>
        <v>румяна</v>
      </c>
      <c r="D21" s="18">
        <f ca="1">INDEX(Данные!$C$1:$C$6, RANDBETWEEN(1,6))</f>
        <v>10</v>
      </c>
      <c r="E21" s="2">
        <f t="shared" ca="1" si="0"/>
        <v>4545</v>
      </c>
      <c r="F21" s="8">
        <f t="shared" ca="1" si="1"/>
        <v>45504</v>
      </c>
      <c r="G21" s="7">
        <f t="shared" ca="1" si="2"/>
        <v>46599</v>
      </c>
      <c r="H21" s="2">
        <f t="shared" ca="1" si="7"/>
        <v>250</v>
      </c>
      <c r="I21" s="2">
        <f t="shared" ca="1" si="3"/>
        <v>229</v>
      </c>
      <c r="J21" s="2">
        <f t="shared" ca="1" si="8"/>
        <v>21</v>
      </c>
      <c r="K21" s="2" t="str">
        <f ca="1">INDEX(Данные!$D$1:$D$5, RANDBETWEEN(1,5))</f>
        <v>мир красоты</v>
      </c>
      <c r="L21" s="7">
        <f t="shared" ca="1" si="4"/>
        <v>45666</v>
      </c>
      <c r="M21" s="23">
        <f t="shared" ca="1" si="5"/>
        <v>45670</v>
      </c>
      <c r="N21" s="28">
        <f t="shared" ca="1" si="6"/>
        <v>1040805</v>
      </c>
    </row>
    <row r="22" spans="1:14" x14ac:dyDescent="0.3">
      <c r="A22" s="4">
        <v>20</v>
      </c>
      <c r="B22" s="3" t="str">
        <f ca="1">INDEX(Данные!$A$1:$A$10, RANDBETWEEN(1,10))</f>
        <v>Kiko</v>
      </c>
      <c r="C22" s="19" t="str">
        <f ca="1">INDEX(Данные!$B$1:$B$10, RANDBETWEEN(1,10))</f>
        <v>помада</v>
      </c>
      <c r="D22" s="18">
        <f ca="1">INDEX(Данные!$C$1:$C$6, RANDBETWEEN(1,6))</f>
        <v>10</v>
      </c>
      <c r="E22" s="2">
        <f t="shared" ca="1" si="0"/>
        <v>1882</v>
      </c>
      <c r="F22" s="8">
        <f t="shared" ca="1" si="1"/>
        <v>45511</v>
      </c>
      <c r="G22" s="7">
        <f t="shared" ca="1" si="2"/>
        <v>46606</v>
      </c>
      <c r="H22" s="2">
        <f t="shared" ca="1" si="7"/>
        <v>98</v>
      </c>
      <c r="I22" s="2">
        <f t="shared" ca="1" si="3"/>
        <v>97</v>
      </c>
      <c r="J22" s="2">
        <f t="shared" ca="1" si="8"/>
        <v>1</v>
      </c>
      <c r="K22" s="2" t="str">
        <f ca="1">INDEX(Данные!$D$1:$D$5, RANDBETWEEN(1,5))</f>
        <v>органик лайн</v>
      </c>
      <c r="L22" s="7">
        <f t="shared" ca="1" si="4"/>
        <v>45642</v>
      </c>
      <c r="M22" s="23">
        <f t="shared" ca="1" si="5"/>
        <v>45645</v>
      </c>
      <c r="N22" s="28">
        <f t="shared" ca="1" si="6"/>
        <v>182554</v>
      </c>
    </row>
    <row r="23" spans="1:14" x14ac:dyDescent="0.3">
      <c r="A23" s="4">
        <v>21</v>
      </c>
      <c r="B23" s="3" t="str">
        <f ca="1">INDEX(Данные!$A$1:$A$10, RANDBETWEEN(1,10))</f>
        <v>CeraVe</v>
      </c>
      <c r="C23" s="19" t="str">
        <f ca="1">INDEX(Данные!$B$1:$B$10, RANDBETWEEN(1,10))</f>
        <v>блеск для губ</v>
      </c>
      <c r="D23" s="18">
        <f ca="1">INDEX(Данные!$C$1:$C$6, RANDBETWEEN(1,6))</f>
        <v>50</v>
      </c>
      <c r="E23" s="2">
        <f t="shared" ca="1" si="0"/>
        <v>1181</v>
      </c>
      <c r="F23" s="8">
        <f t="shared" ca="1" si="1"/>
        <v>45379</v>
      </c>
      <c r="G23" s="7">
        <f t="shared" ca="1" si="2"/>
        <v>46474</v>
      </c>
      <c r="H23" s="2">
        <f t="shared" ca="1" si="7"/>
        <v>137</v>
      </c>
      <c r="I23" s="2">
        <f t="shared" ca="1" si="3"/>
        <v>8</v>
      </c>
      <c r="J23" s="2">
        <f t="shared" ca="1" si="8"/>
        <v>129</v>
      </c>
      <c r="K23" s="2" t="str">
        <f ca="1">INDEX(Данные!$D$1:$D$5, RANDBETWEEN(1,5))</f>
        <v>мир красоты</v>
      </c>
      <c r="L23" s="7">
        <f t="shared" ca="1" si="4"/>
        <v>45543</v>
      </c>
      <c r="M23" s="23">
        <f t="shared" ca="1" si="5"/>
        <v>45700</v>
      </c>
      <c r="N23" s="28">
        <f t="shared" ca="1" si="6"/>
        <v>9448</v>
      </c>
    </row>
    <row r="24" spans="1:14" x14ac:dyDescent="0.3">
      <c r="A24" s="4">
        <v>22</v>
      </c>
      <c r="B24" s="3" t="str">
        <f ca="1">INDEX(Данные!$A$1:$A$10, RANDBETWEEN(1,10))</f>
        <v>Maybelline</v>
      </c>
      <c r="C24" s="19" t="str">
        <f ca="1">INDEX(Данные!$B$1:$B$10, RANDBETWEEN(1,10))</f>
        <v>помада</v>
      </c>
      <c r="D24" s="18">
        <f ca="1">INDEX(Данные!$C$1:$C$6, RANDBETWEEN(1,6))</f>
        <v>10</v>
      </c>
      <c r="E24" s="2">
        <f t="shared" ca="1" si="0"/>
        <v>3115</v>
      </c>
      <c r="F24" s="8">
        <f t="shared" ca="1" si="1"/>
        <v>45697</v>
      </c>
      <c r="G24" s="7">
        <f t="shared" ca="1" si="2"/>
        <v>46792</v>
      </c>
      <c r="H24" s="2">
        <f t="shared" ca="1" si="7"/>
        <v>155</v>
      </c>
      <c r="I24" s="2">
        <f t="shared" ca="1" si="3"/>
        <v>99</v>
      </c>
      <c r="J24" s="2">
        <f t="shared" ca="1" si="8"/>
        <v>56</v>
      </c>
      <c r="K24" s="2" t="str">
        <f ca="1">INDEX(Данные!$D$1:$D$5, RANDBETWEEN(1,5))</f>
        <v>Пантикка</v>
      </c>
      <c r="L24" s="7">
        <f t="shared" ca="1" si="4"/>
        <v>45699</v>
      </c>
      <c r="M24" s="23">
        <f t="shared" ca="1" si="5"/>
        <v>45699</v>
      </c>
      <c r="N24" s="28">
        <f t="shared" ca="1" si="6"/>
        <v>308385</v>
      </c>
    </row>
    <row r="25" spans="1:14" x14ac:dyDescent="0.3">
      <c r="A25" s="4">
        <v>23</v>
      </c>
      <c r="B25" s="3" t="str">
        <f ca="1">INDEX(Данные!$A$1:$A$10, RANDBETWEEN(1,10))</f>
        <v>Gosh</v>
      </c>
      <c r="C25" s="19" t="str">
        <f ca="1">INDEX(Данные!$B$1:$B$10, RANDBETWEEN(1,10))</f>
        <v>румяна</v>
      </c>
      <c r="D25" s="18">
        <f ca="1">INDEX(Данные!$C$1:$C$6, RANDBETWEEN(1,6))</f>
        <v>50</v>
      </c>
      <c r="E25" s="2">
        <f t="shared" ca="1" si="0"/>
        <v>1405</v>
      </c>
      <c r="F25" s="8">
        <f t="shared" ca="1" si="1"/>
        <v>45395</v>
      </c>
      <c r="G25" s="7">
        <f t="shared" ca="1" si="2"/>
        <v>46490</v>
      </c>
      <c r="H25" s="2">
        <f t="shared" ca="1" si="7"/>
        <v>244</v>
      </c>
      <c r="I25" s="2">
        <f t="shared" ca="1" si="3"/>
        <v>17</v>
      </c>
      <c r="J25" s="2">
        <f t="shared" ca="1" si="8"/>
        <v>227</v>
      </c>
      <c r="K25" s="2" t="str">
        <f ca="1">INDEX(Данные!$D$1:$D$5, RANDBETWEEN(1,5))</f>
        <v>органик лайн</v>
      </c>
      <c r="L25" s="7">
        <f t="shared" ca="1" si="4"/>
        <v>45444</v>
      </c>
      <c r="M25" s="23">
        <f t="shared" ca="1" si="5"/>
        <v>45627</v>
      </c>
      <c r="N25" s="28">
        <f t="shared" ca="1" si="6"/>
        <v>23885</v>
      </c>
    </row>
    <row r="26" spans="1:14" x14ac:dyDescent="0.3">
      <c r="A26" s="4">
        <v>24</v>
      </c>
      <c r="B26" s="3" t="str">
        <f ca="1">INDEX(Данные!$A$1:$A$10, RANDBETWEEN(1,10))</f>
        <v>Essence</v>
      </c>
      <c r="C26" s="19" t="str">
        <f ca="1">INDEX(Данные!$B$1:$B$10, RANDBETWEEN(1,10))</f>
        <v>тональная основа</v>
      </c>
      <c r="D26" s="18">
        <f ca="1">INDEX(Данные!$C$1:$C$6, RANDBETWEEN(1,6))</f>
        <v>50</v>
      </c>
      <c r="E26" s="2">
        <f t="shared" ca="1" si="0"/>
        <v>2894</v>
      </c>
      <c r="F26" s="8">
        <f t="shared" ca="1" si="1"/>
        <v>45483</v>
      </c>
      <c r="G26" s="7">
        <f t="shared" ca="1" si="2"/>
        <v>46578</v>
      </c>
      <c r="H26" s="2">
        <f t="shared" ca="1" si="7"/>
        <v>233</v>
      </c>
      <c r="I26" s="2">
        <f t="shared" ca="1" si="3"/>
        <v>158</v>
      </c>
      <c r="J26" s="2">
        <f t="shared" ca="1" si="8"/>
        <v>75</v>
      </c>
      <c r="K26" s="2" t="str">
        <f ca="1">INDEX(Данные!$D$1:$D$5, RANDBETWEEN(1,5))</f>
        <v>Соландра косметикс</v>
      </c>
      <c r="L26" s="7">
        <f t="shared" ca="1" si="4"/>
        <v>45641</v>
      </c>
      <c r="M26" s="23">
        <f t="shared" ca="1" si="5"/>
        <v>45646</v>
      </c>
      <c r="N26" s="28">
        <f t="shared" ca="1" si="6"/>
        <v>457252</v>
      </c>
    </row>
    <row r="27" spans="1:14" x14ac:dyDescent="0.3">
      <c r="A27" s="4">
        <v>25</v>
      </c>
      <c r="B27" s="3" t="str">
        <f ca="1">INDEX(Данные!$A$1:$A$10, RANDBETWEEN(1,10))</f>
        <v>Vichy</v>
      </c>
      <c r="C27" s="19" t="str">
        <f ca="1">INDEX(Данные!$B$1:$B$10, RANDBETWEEN(1,10))</f>
        <v>консилер</v>
      </c>
      <c r="D27" s="18">
        <f ca="1">INDEX(Данные!$C$1:$C$6, RANDBETWEEN(1,6))</f>
        <v>100</v>
      </c>
      <c r="E27" s="2">
        <f t="shared" ca="1" si="0"/>
        <v>1438</v>
      </c>
      <c r="F27" s="8">
        <f t="shared" ca="1" si="1"/>
        <v>45571</v>
      </c>
      <c r="G27" s="7">
        <f t="shared" ca="1" si="2"/>
        <v>46666</v>
      </c>
      <c r="H27" s="2">
        <f t="shared" ca="1" si="7"/>
        <v>230</v>
      </c>
      <c r="I27" s="2">
        <f t="shared" ca="1" si="3"/>
        <v>177</v>
      </c>
      <c r="J27" s="2">
        <f t="shared" ca="1" si="8"/>
        <v>53</v>
      </c>
      <c r="K27" s="2" t="str">
        <f ca="1">INDEX(Данные!$D$1:$D$5, RANDBETWEEN(1,5))</f>
        <v>ИП Иванова</v>
      </c>
      <c r="L27" s="7">
        <f t="shared" ca="1" si="4"/>
        <v>45586</v>
      </c>
      <c r="M27" s="23">
        <f t="shared" ca="1" si="5"/>
        <v>45611</v>
      </c>
      <c r="N27" s="28">
        <f t="shared" ca="1" si="6"/>
        <v>254526</v>
      </c>
    </row>
    <row r="28" spans="1:14" x14ac:dyDescent="0.3">
      <c r="A28" s="4">
        <v>26</v>
      </c>
      <c r="B28" s="3" t="str">
        <f ca="1">INDEX(Данные!$A$1:$A$10, RANDBETWEEN(1,10))</f>
        <v>Essence</v>
      </c>
      <c r="C28" s="19" t="str">
        <f ca="1">INDEX(Данные!$B$1:$B$10, RANDBETWEEN(1,10))</f>
        <v>праймер</v>
      </c>
      <c r="D28" s="18">
        <f ca="1">INDEX(Данные!$C$1:$C$6, RANDBETWEEN(1,6))</f>
        <v>15</v>
      </c>
      <c r="E28" s="2">
        <f t="shared" ca="1" si="0"/>
        <v>728</v>
      </c>
      <c r="F28" s="8">
        <f t="shared" ca="1" si="1"/>
        <v>45593</v>
      </c>
      <c r="G28" s="7">
        <f t="shared" ca="1" si="2"/>
        <v>46688</v>
      </c>
      <c r="H28" s="2">
        <f t="shared" ca="1" si="7"/>
        <v>55</v>
      </c>
      <c r="I28" s="2">
        <f t="shared" ca="1" si="3"/>
        <v>50</v>
      </c>
      <c r="J28" s="2">
        <f t="shared" ca="1" si="8"/>
        <v>5</v>
      </c>
      <c r="K28" s="2" t="str">
        <f ca="1">INDEX(Данные!$D$1:$D$5, RANDBETWEEN(1,5))</f>
        <v>органик лайн</v>
      </c>
      <c r="L28" s="7">
        <f t="shared" ca="1" si="4"/>
        <v>45681</v>
      </c>
      <c r="M28" s="23">
        <f t="shared" ca="1" si="5"/>
        <v>45707</v>
      </c>
      <c r="N28" s="28">
        <f t="shared" ca="1" si="6"/>
        <v>36400</v>
      </c>
    </row>
    <row r="29" spans="1:14" x14ac:dyDescent="0.3">
      <c r="A29" s="4">
        <v>27</v>
      </c>
      <c r="B29" s="3" t="str">
        <f ca="1">INDEX(Данные!$A$1:$A$10, RANDBETWEEN(1,10))</f>
        <v>Loreal Paris</v>
      </c>
      <c r="C29" s="19" t="str">
        <f ca="1">INDEX(Данные!$B$1:$B$10, RANDBETWEEN(1,10))</f>
        <v>консилер</v>
      </c>
      <c r="D29" s="18">
        <f ca="1">INDEX(Данные!$C$1:$C$6, RANDBETWEEN(1,6))</f>
        <v>50</v>
      </c>
      <c r="E29" s="2">
        <f t="shared" ca="1" si="0"/>
        <v>3684</v>
      </c>
      <c r="F29" s="8">
        <f t="shared" ca="1" si="1"/>
        <v>45530</v>
      </c>
      <c r="G29" s="7">
        <f t="shared" ca="1" si="2"/>
        <v>46625</v>
      </c>
      <c r="H29" s="2">
        <f t="shared" ca="1" si="7"/>
        <v>253</v>
      </c>
      <c r="I29" s="2">
        <f t="shared" ca="1" si="3"/>
        <v>53</v>
      </c>
      <c r="J29" s="2">
        <f t="shared" ca="1" si="8"/>
        <v>200</v>
      </c>
      <c r="K29" s="2" t="str">
        <f ca="1">INDEX(Данные!$D$1:$D$5, RANDBETWEEN(1,5))</f>
        <v>органик лайн</v>
      </c>
      <c r="L29" s="7">
        <f t="shared" ca="1" si="4"/>
        <v>45586</v>
      </c>
      <c r="M29" s="23">
        <f t="shared" ca="1" si="5"/>
        <v>45605</v>
      </c>
      <c r="N29" s="28">
        <f t="shared" ca="1" si="6"/>
        <v>195252</v>
      </c>
    </row>
    <row r="30" spans="1:14" x14ac:dyDescent="0.3">
      <c r="A30" s="4">
        <v>28</v>
      </c>
      <c r="B30" s="3" t="str">
        <f ca="1">INDEX(Данные!$A$1:$A$10, RANDBETWEEN(1,10))</f>
        <v>Clinique</v>
      </c>
      <c r="C30" s="19" t="str">
        <f ca="1">INDEX(Данные!$B$1:$B$10, RANDBETWEEN(1,10))</f>
        <v>помада</v>
      </c>
      <c r="D30" s="18">
        <f ca="1">INDEX(Данные!$C$1:$C$6, RANDBETWEEN(1,6))</f>
        <v>10</v>
      </c>
      <c r="E30" s="2">
        <f t="shared" ca="1" si="0"/>
        <v>4704</v>
      </c>
      <c r="F30" s="8">
        <f t="shared" ca="1" si="1"/>
        <v>45700</v>
      </c>
      <c r="G30" s="7">
        <f t="shared" ca="1" si="2"/>
        <v>46795</v>
      </c>
      <c r="H30" s="2">
        <f t="shared" ca="1" si="7"/>
        <v>299</v>
      </c>
      <c r="I30" s="2">
        <f t="shared" ca="1" si="3"/>
        <v>47</v>
      </c>
      <c r="J30" s="2">
        <f t="shared" ca="1" si="8"/>
        <v>252</v>
      </c>
      <c r="K30" s="2" t="str">
        <f ca="1">INDEX(Данные!$D$1:$D$5, RANDBETWEEN(1,5))</f>
        <v>ИП Иванова</v>
      </c>
      <c r="L30" s="7">
        <f t="shared" ca="1" si="4"/>
        <v>45707</v>
      </c>
      <c r="M30" s="23">
        <f t="shared" ca="1" si="5"/>
        <v>45707</v>
      </c>
      <c r="N30" s="28">
        <f t="shared" ca="1" si="6"/>
        <v>221088</v>
      </c>
    </row>
    <row r="31" spans="1:14" x14ac:dyDescent="0.3">
      <c r="A31" s="4">
        <v>29</v>
      </c>
      <c r="B31" s="3" t="str">
        <f ca="1">INDEX(Данные!$A$1:$A$10, RANDBETWEEN(1,10))</f>
        <v>Maybelline</v>
      </c>
      <c r="C31" s="19" t="str">
        <f ca="1">INDEX(Данные!$B$1:$B$10, RANDBETWEEN(1,10))</f>
        <v>праймер</v>
      </c>
      <c r="D31" s="18">
        <f ca="1">INDEX(Данные!$C$1:$C$6, RANDBETWEEN(1,6))</f>
        <v>50</v>
      </c>
      <c r="E31" s="2">
        <f t="shared" ca="1" si="0"/>
        <v>2677</v>
      </c>
      <c r="F31" s="8">
        <f t="shared" ca="1" si="1"/>
        <v>45669</v>
      </c>
      <c r="G31" s="7">
        <f t="shared" ca="1" si="2"/>
        <v>46764</v>
      </c>
      <c r="H31" s="2">
        <f t="shared" ca="1" si="7"/>
        <v>242</v>
      </c>
      <c r="I31" s="2">
        <f t="shared" ca="1" si="3"/>
        <v>172</v>
      </c>
      <c r="J31" s="2">
        <f t="shared" ca="1" si="8"/>
        <v>70</v>
      </c>
      <c r="K31" s="2" t="str">
        <f ca="1">INDEX(Данные!$D$1:$D$5, RANDBETWEEN(1,5))</f>
        <v>Пантикка</v>
      </c>
      <c r="L31" s="7">
        <f t="shared" ca="1" si="4"/>
        <v>45681</v>
      </c>
      <c r="M31" s="23">
        <f t="shared" ca="1" si="5"/>
        <v>45698</v>
      </c>
      <c r="N31" s="28">
        <f t="shared" ca="1" si="6"/>
        <v>460444</v>
      </c>
    </row>
    <row r="32" spans="1:14" x14ac:dyDescent="0.3">
      <c r="A32" s="4">
        <v>30</v>
      </c>
      <c r="B32" s="3" t="str">
        <f ca="1">INDEX(Данные!$A$1:$A$10, RANDBETWEEN(1,10))</f>
        <v>Clinique</v>
      </c>
      <c r="C32" s="19" t="str">
        <f ca="1">INDEX(Данные!$B$1:$B$10, RANDBETWEEN(1,10))</f>
        <v>пенка для умывания</v>
      </c>
      <c r="D32" s="18">
        <f ca="1">INDEX(Данные!$C$1:$C$6, RANDBETWEEN(1,6))</f>
        <v>10</v>
      </c>
      <c r="E32" s="2">
        <f t="shared" ca="1" si="0"/>
        <v>4083</v>
      </c>
      <c r="F32" s="8">
        <f t="shared" ca="1" si="1"/>
        <v>45572</v>
      </c>
      <c r="G32" s="7">
        <f t="shared" ca="1" si="2"/>
        <v>46667</v>
      </c>
      <c r="H32" s="2">
        <f t="shared" ca="1" si="7"/>
        <v>185</v>
      </c>
      <c r="I32" s="2">
        <f t="shared" ca="1" si="3"/>
        <v>82</v>
      </c>
      <c r="J32" s="2">
        <f t="shared" ca="1" si="8"/>
        <v>103</v>
      </c>
      <c r="K32" s="2" t="str">
        <f ca="1">INDEX(Данные!$D$1:$D$5, RANDBETWEEN(1,5))</f>
        <v>Соландра косметикс</v>
      </c>
      <c r="L32" s="7">
        <f t="shared" ca="1" si="4"/>
        <v>45706</v>
      </c>
      <c r="M32" s="23">
        <f t="shared" ca="1" si="5"/>
        <v>45706</v>
      </c>
      <c r="N32" s="28">
        <f t="shared" ca="1" si="6"/>
        <v>334806</v>
      </c>
    </row>
    <row r="33" spans="1:14" x14ac:dyDescent="0.3">
      <c r="A33" s="4">
        <v>31</v>
      </c>
      <c r="B33" s="3" t="str">
        <f ca="1">INDEX(Данные!$A$1:$A$10, RANDBETWEEN(1,10))</f>
        <v>Loreal Paris</v>
      </c>
      <c r="C33" s="19" t="str">
        <f ca="1">INDEX(Данные!$B$1:$B$10, RANDBETWEEN(1,10))</f>
        <v>блеск для губ</v>
      </c>
      <c r="D33" s="18">
        <f ca="1">INDEX(Данные!$C$1:$C$6, RANDBETWEEN(1,6))</f>
        <v>10</v>
      </c>
      <c r="E33" s="2">
        <f t="shared" ca="1" si="0"/>
        <v>2261</v>
      </c>
      <c r="F33" s="8">
        <f t="shared" ca="1" si="1"/>
        <v>45483</v>
      </c>
      <c r="G33" s="7">
        <f t="shared" ca="1" si="2"/>
        <v>46578</v>
      </c>
      <c r="H33" s="2">
        <f t="shared" ca="1" si="7"/>
        <v>197</v>
      </c>
      <c r="I33" s="2">
        <f t="shared" ca="1" si="3"/>
        <v>100</v>
      </c>
      <c r="J33" s="2">
        <f t="shared" ca="1" si="8"/>
        <v>97</v>
      </c>
      <c r="K33" s="2" t="str">
        <f ca="1">INDEX(Данные!$D$1:$D$5, RANDBETWEEN(1,5))</f>
        <v>мир красоты</v>
      </c>
      <c r="L33" s="7">
        <f t="shared" ca="1" si="4"/>
        <v>45674</v>
      </c>
      <c r="M33" s="23">
        <f t="shared" ca="1" si="5"/>
        <v>45679</v>
      </c>
      <c r="N33" s="28">
        <f t="shared" ca="1" si="6"/>
        <v>226100</v>
      </c>
    </row>
    <row r="34" spans="1:14" x14ac:dyDescent="0.3">
      <c r="A34" s="4">
        <v>32</v>
      </c>
      <c r="B34" s="3" t="str">
        <f ca="1">INDEX(Данные!$A$1:$A$10, RANDBETWEEN(1,10))</f>
        <v>Gosh</v>
      </c>
      <c r="C34" s="19" t="str">
        <f ca="1">INDEX(Данные!$B$1:$B$10, RANDBETWEEN(1,10))</f>
        <v>праймер</v>
      </c>
      <c r="D34" s="18">
        <f ca="1">INDEX(Данные!$C$1:$C$6, RANDBETWEEN(1,6))</f>
        <v>30</v>
      </c>
      <c r="E34" s="2">
        <f t="shared" ca="1" si="0"/>
        <v>1228</v>
      </c>
      <c r="F34" s="8">
        <f t="shared" ca="1" si="1"/>
        <v>45340</v>
      </c>
      <c r="G34" s="7">
        <f t="shared" ca="1" si="2"/>
        <v>46435</v>
      </c>
      <c r="H34" s="2">
        <f t="shared" ca="1" si="7"/>
        <v>259</v>
      </c>
      <c r="I34" s="2">
        <f t="shared" ca="1" si="3"/>
        <v>179</v>
      </c>
      <c r="J34" s="2">
        <f t="shared" ca="1" si="8"/>
        <v>80</v>
      </c>
      <c r="K34" s="2" t="str">
        <f ca="1">INDEX(Данные!$D$1:$D$5, RANDBETWEEN(1,5))</f>
        <v>Пантикка</v>
      </c>
      <c r="L34" s="7">
        <f t="shared" ca="1" si="4"/>
        <v>45605</v>
      </c>
      <c r="M34" s="23">
        <f t="shared" ca="1" si="5"/>
        <v>45707</v>
      </c>
      <c r="N34" s="28">
        <f t="shared" ca="1" si="6"/>
        <v>219812</v>
      </c>
    </row>
    <row r="35" spans="1:14" x14ac:dyDescent="0.3">
      <c r="A35" s="4">
        <v>33</v>
      </c>
      <c r="B35" s="3" t="str">
        <f ca="1">INDEX(Данные!$A$1:$A$10, RANDBETWEEN(1,10))</f>
        <v>NYX</v>
      </c>
      <c r="C35" s="19" t="str">
        <f ca="1">INDEX(Данные!$B$1:$B$10, RANDBETWEEN(1,10))</f>
        <v>румяна</v>
      </c>
      <c r="D35" s="18">
        <f ca="1">INDEX(Данные!$C$1:$C$6, RANDBETWEEN(1,6))</f>
        <v>30</v>
      </c>
      <c r="E35" s="2">
        <f t="shared" ca="1" si="0"/>
        <v>3088</v>
      </c>
      <c r="F35" s="8">
        <f t="shared" ca="1" si="1"/>
        <v>45402</v>
      </c>
      <c r="G35" s="7">
        <f t="shared" ca="1" si="2"/>
        <v>46497</v>
      </c>
      <c r="H35" s="2">
        <f t="shared" ca="1" si="7"/>
        <v>299</v>
      </c>
      <c r="I35" s="2">
        <f t="shared" ca="1" si="3"/>
        <v>49</v>
      </c>
      <c r="J35" s="2">
        <f t="shared" ca="1" si="8"/>
        <v>250</v>
      </c>
      <c r="K35" s="2" t="str">
        <f ca="1">INDEX(Данные!$D$1:$D$5, RANDBETWEEN(1,5))</f>
        <v>органик лайн</v>
      </c>
      <c r="L35" s="7">
        <f t="shared" ca="1" si="4"/>
        <v>45471</v>
      </c>
      <c r="M35" s="23">
        <f t="shared" ca="1" si="5"/>
        <v>45524</v>
      </c>
      <c r="N35" s="28">
        <f t="shared" ca="1" si="6"/>
        <v>151312</v>
      </c>
    </row>
    <row r="36" spans="1:14" ht="15" thickBot="1" x14ac:dyDescent="0.35">
      <c r="A36" s="5">
        <v>34</v>
      </c>
      <c r="B36" s="20" t="str">
        <f ca="1">INDEX(Данные!$A$1:$A$10, RANDBETWEEN(1,10))</f>
        <v>Vichy</v>
      </c>
      <c r="C36" s="21" t="str">
        <f ca="1">INDEX(Данные!$B$1:$B$10, RANDBETWEEN(1,10))</f>
        <v>блеск для губ</v>
      </c>
      <c r="D36" s="22">
        <f ca="1">INDEX(Данные!$C$1:$C$6, RANDBETWEEN(1,6))</f>
        <v>50</v>
      </c>
      <c r="E36" s="6">
        <f t="shared" ca="1" si="0"/>
        <v>4386</v>
      </c>
      <c r="F36" s="14">
        <f t="shared" ca="1" si="1"/>
        <v>45570</v>
      </c>
      <c r="G36" s="15">
        <f t="shared" ca="1" si="2"/>
        <v>46665</v>
      </c>
      <c r="H36" s="6">
        <f t="shared" ca="1" si="7"/>
        <v>293</v>
      </c>
      <c r="I36" s="6">
        <f t="shared" ca="1" si="3"/>
        <v>197</v>
      </c>
      <c r="J36" s="6">
        <f t="shared" ca="1" si="8"/>
        <v>96</v>
      </c>
      <c r="K36" s="21" t="str">
        <f ca="1">INDEX(Данные!$D$1:$D$5, RANDBETWEEN(1,5))</f>
        <v>Пантикка</v>
      </c>
      <c r="L36" s="15">
        <f t="shared" ca="1" si="4"/>
        <v>45611</v>
      </c>
      <c r="M36" s="24">
        <f t="shared" ca="1" si="5"/>
        <v>45701</v>
      </c>
      <c r="N36" s="29">
        <f t="shared" ca="1" si="6"/>
        <v>864042</v>
      </c>
    </row>
  </sheetData>
  <mergeCells count="14">
    <mergeCell ref="A1:A2"/>
    <mergeCell ref="B1:B2"/>
    <mergeCell ref="E1:E2"/>
    <mergeCell ref="F1:F2"/>
    <mergeCell ref="G1:G2"/>
    <mergeCell ref="N1:N2"/>
    <mergeCell ref="K1:K2"/>
    <mergeCell ref="L1:L2"/>
    <mergeCell ref="M1:M2"/>
    <mergeCell ref="C1:C2"/>
    <mergeCell ref="D1:D2"/>
    <mergeCell ref="J1:J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CBB2-E1B4-4375-B8B3-21EDA6CF5046}">
  <dimension ref="A1:N36"/>
  <sheetViews>
    <sheetView zoomScale="73" zoomScaleNormal="73" workbookViewId="0">
      <selection activeCell="M1" sqref="M1:M2"/>
    </sheetView>
  </sheetViews>
  <sheetFormatPr defaultRowHeight="14.4" x14ac:dyDescent="0.3"/>
  <cols>
    <col min="1" max="1" width="8.6640625" style="1" customWidth="1"/>
    <col min="2" max="7" width="12.6640625" customWidth="1"/>
    <col min="8" max="8" width="20.88671875" style="16" customWidth="1"/>
    <col min="9" max="9" width="18.109375" style="16" customWidth="1"/>
    <col min="10" max="10" width="17.109375" style="17" customWidth="1"/>
    <col min="12" max="12" width="17.33203125" customWidth="1"/>
    <col min="13" max="13" width="13.88671875" customWidth="1"/>
  </cols>
  <sheetData>
    <row r="1" spans="1:14" ht="15" customHeight="1" x14ac:dyDescent="0.3">
      <c r="A1" s="32" t="s">
        <v>8</v>
      </c>
      <c r="B1" s="34" t="s">
        <v>4</v>
      </c>
      <c r="C1" s="34" t="s">
        <v>5</v>
      </c>
      <c r="D1" s="34" t="s">
        <v>6</v>
      </c>
      <c r="E1" s="34" t="s">
        <v>0</v>
      </c>
      <c r="F1" s="40" t="s">
        <v>34</v>
      </c>
      <c r="G1" s="38" t="s">
        <v>7</v>
      </c>
      <c r="H1" s="42" t="s">
        <v>35</v>
      </c>
      <c r="I1" s="42" t="s">
        <v>36</v>
      </c>
      <c r="J1" s="42" t="s">
        <v>37</v>
      </c>
      <c r="K1" s="34" t="s">
        <v>1</v>
      </c>
      <c r="L1" s="34" t="s">
        <v>2</v>
      </c>
      <c r="M1" s="36" t="s">
        <v>3</v>
      </c>
      <c r="N1" s="30" t="s">
        <v>38</v>
      </c>
    </row>
    <row r="2" spans="1:14" ht="15" thickBot="1" x14ac:dyDescent="0.35">
      <c r="A2" s="33"/>
      <c r="B2" s="35"/>
      <c r="C2" s="35"/>
      <c r="D2" s="35"/>
      <c r="E2" s="35"/>
      <c r="F2" s="41"/>
      <c r="G2" s="39"/>
      <c r="H2" s="43"/>
      <c r="I2" s="43"/>
      <c r="J2" s="43"/>
      <c r="K2" s="35"/>
      <c r="L2" s="35"/>
      <c r="M2" s="37"/>
      <c r="N2" s="31"/>
    </row>
    <row r="3" spans="1:14" x14ac:dyDescent="0.3">
      <c r="A3" s="9">
        <v>1</v>
      </c>
      <c r="B3" s="11" t="str">
        <f ca="1">INDEX(Данные!$A$1:$A$10, RANDBETWEEN(1,10))</f>
        <v>Clarins</v>
      </c>
      <c r="C3" s="10" t="str">
        <f ca="1">INDEX(Данные!$B$1:$B$10, RANDBETWEEN(1,10))</f>
        <v>блеск для губ</v>
      </c>
      <c r="D3" s="25">
        <f ca="1">INDEX(Данные!$C$1:$C$6, RANDBETWEEN(1,6))</f>
        <v>20</v>
      </c>
      <c r="E3" s="10">
        <f ca="1">RANDBETWEEN(600,5000)</f>
        <v>868</v>
      </c>
      <c r="F3" s="12">
        <f ca="1">RANDBETWEEN(DATE(2024,2,15),DATE(2025,2,15))</f>
        <v>45513</v>
      </c>
      <c r="G3" s="13">
        <f ca="1">F3+365*3</f>
        <v>46608</v>
      </c>
      <c r="H3" s="10">
        <f ca="1">RANDBETWEEN(50,500)</f>
        <v>109</v>
      </c>
      <c r="I3" s="10">
        <f ca="1">H3-J3</f>
        <v>19</v>
      </c>
      <c r="J3" s="10">
        <f ca="1">RANDBETWEEN(0,H3)</f>
        <v>90</v>
      </c>
      <c r="K3" s="10" t="str">
        <f ca="1">INDEX(Данные!$D$1:$D$5, RANDBETWEEN(1,5))</f>
        <v>Соландра косметикс</v>
      </c>
      <c r="L3" s="13">
        <f ca="1">RANDBETWEEN(F3,DATE(2025,2,19))</f>
        <v>45650</v>
      </c>
      <c r="M3" s="26">
        <f ca="1">RANDBETWEEN(L3,DATE(2025,2,19))</f>
        <v>45666</v>
      </c>
      <c r="N3" s="27">
        <f ca="1">E3*I3</f>
        <v>16492</v>
      </c>
    </row>
    <row r="4" spans="1:14" x14ac:dyDescent="0.3">
      <c r="A4" s="4">
        <v>2</v>
      </c>
      <c r="B4" s="3" t="str">
        <f ca="1">INDEX(Данные!$A$1:$A$10, RANDBETWEEN(1,10))</f>
        <v>CeraVe</v>
      </c>
      <c r="C4" s="19" t="str">
        <f ca="1">INDEX(Данные!$B$1:$B$10, RANDBETWEEN(1,10))</f>
        <v>хайлайтер</v>
      </c>
      <c r="D4" s="18">
        <f ca="1">INDEX(Данные!$C$1:$C$6, RANDBETWEEN(1,6))</f>
        <v>15</v>
      </c>
      <c r="E4" s="2">
        <f t="shared" ref="E4:E36" ca="1" si="0">RANDBETWEEN(600,5000)</f>
        <v>2154</v>
      </c>
      <c r="F4" s="8">
        <f t="shared" ref="F4:F36" ca="1" si="1">RANDBETWEEN(DATE(2024,2,15),DATE(2025,2,15))</f>
        <v>45357</v>
      </c>
      <c r="G4" s="7">
        <f t="shared" ref="G4:G36" ca="1" si="2">F4+365*3</f>
        <v>46452</v>
      </c>
      <c r="H4" s="2">
        <f ca="1">RANDBETWEEN(50,300)</f>
        <v>79</v>
      </c>
      <c r="I4" s="2">
        <f t="shared" ref="I4:I36" ca="1" si="3">H4-J4</f>
        <v>62</v>
      </c>
      <c r="J4" s="2">
        <f ca="1">RANDBETWEEN(0,H4)</f>
        <v>17</v>
      </c>
      <c r="K4" s="2" t="str">
        <f ca="1">INDEX(Данные!$D$1:$D$5, RANDBETWEEN(1,5))</f>
        <v>Пантикка</v>
      </c>
      <c r="L4" s="7">
        <f t="shared" ref="L4:L36" ca="1" si="4">RANDBETWEEN(F4,DATE(2025,2,19))</f>
        <v>45682</v>
      </c>
      <c r="M4" s="23">
        <f t="shared" ref="M4:M36" ca="1" si="5">RANDBETWEEN(L4,DATE(2025,2,19))</f>
        <v>45697</v>
      </c>
      <c r="N4" s="28">
        <f t="shared" ref="N4:N36" ca="1" si="6">E4*I4</f>
        <v>133548</v>
      </c>
    </row>
    <row r="5" spans="1:14" x14ac:dyDescent="0.3">
      <c r="A5" s="4">
        <v>3</v>
      </c>
      <c r="B5" s="3" t="str">
        <f ca="1">INDEX(Данные!$A$1:$A$10, RANDBETWEEN(1,10))</f>
        <v>Vichy</v>
      </c>
      <c r="C5" s="19" t="str">
        <f ca="1">INDEX(Данные!$B$1:$B$10, RANDBETWEEN(1,10))</f>
        <v>хайлайтер</v>
      </c>
      <c r="D5" s="18">
        <f ca="1">INDEX(Данные!$C$1:$C$6, RANDBETWEEN(1,6))</f>
        <v>15</v>
      </c>
      <c r="E5" s="2">
        <f t="shared" ca="1" si="0"/>
        <v>3037</v>
      </c>
      <c r="F5" s="8">
        <f t="shared" ca="1" si="1"/>
        <v>45404</v>
      </c>
      <c r="G5" s="7">
        <f t="shared" ca="1" si="2"/>
        <v>46499</v>
      </c>
      <c r="H5" s="2">
        <f t="shared" ref="H5:H36" ca="1" si="7">RANDBETWEEN(50,300)</f>
        <v>220</v>
      </c>
      <c r="I5" s="2">
        <f t="shared" ca="1" si="3"/>
        <v>87</v>
      </c>
      <c r="J5" s="2">
        <f ca="1">RANDBETWEEN(0,H5)</f>
        <v>133</v>
      </c>
      <c r="K5" s="2" t="str">
        <f ca="1">INDEX(Данные!$D$1:$D$5, RANDBETWEEN(1,5))</f>
        <v>Пантикка</v>
      </c>
      <c r="L5" s="7">
        <f t="shared" ca="1" si="4"/>
        <v>45414</v>
      </c>
      <c r="M5" s="23">
        <f t="shared" ca="1" si="5"/>
        <v>45532</v>
      </c>
      <c r="N5" s="28">
        <f t="shared" ca="1" si="6"/>
        <v>264219</v>
      </c>
    </row>
    <row r="6" spans="1:14" x14ac:dyDescent="0.3">
      <c r="A6" s="4">
        <v>4</v>
      </c>
      <c r="B6" s="3" t="str">
        <f ca="1">INDEX(Данные!$A$1:$A$10, RANDBETWEEN(1,10))</f>
        <v>Loreal Paris</v>
      </c>
      <c r="C6" s="19" t="str">
        <f ca="1">INDEX(Данные!$B$1:$B$10, RANDBETWEEN(1,10))</f>
        <v>консилер</v>
      </c>
      <c r="D6" s="18">
        <f ca="1">INDEX(Данные!$C$1:$C$6, RANDBETWEEN(1,6))</f>
        <v>10</v>
      </c>
      <c r="E6" s="2">
        <f t="shared" ca="1" si="0"/>
        <v>4116</v>
      </c>
      <c r="F6" s="8">
        <f t="shared" ca="1" si="1"/>
        <v>45357</v>
      </c>
      <c r="G6" s="7">
        <f t="shared" ca="1" si="2"/>
        <v>46452</v>
      </c>
      <c r="H6" s="2">
        <f t="shared" ca="1" si="7"/>
        <v>67</v>
      </c>
      <c r="I6" s="2">
        <f t="shared" ca="1" si="3"/>
        <v>38</v>
      </c>
      <c r="J6" s="2">
        <f t="shared" ref="J6:J36" ca="1" si="8">RANDBETWEEN(0,H6)</f>
        <v>29</v>
      </c>
      <c r="K6" s="2" t="str">
        <f ca="1">INDEX(Данные!$D$1:$D$5, RANDBETWEEN(1,5))</f>
        <v>Соландра косметикс</v>
      </c>
      <c r="L6" s="7">
        <f t="shared" ca="1" si="4"/>
        <v>45546</v>
      </c>
      <c r="M6" s="23">
        <f t="shared" ca="1" si="5"/>
        <v>45568</v>
      </c>
      <c r="N6" s="28">
        <f t="shared" ca="1" si="6"/>
        <v>156408</v>
      </c>
    </row>
    <row r="7" spans="1:14" x14ac:dyDescent="0.3">
      <c r="A7" s="4">
        <v>5</v>
      </c>
      <c r="B7" s="3" t="str">
        <f ca="1">INDEX(Данные!$A$1:$A$10, RANDBETWEEN(1,10))</f>
        <v>CeraVe</v>
      </c>
      <c r="C7" s="19" t="str">
        <f ca="1">INDEX(Данные!$B$1:$B$10, RANDBETWEEN(1,10))</f>
        <v>румяна</v>
      </c>
      <c r="D7" s="18">
        <f ca="1">INDEX(Данные!$C$1:$C$6, RANDBETWEEN(1,6))</f>
        <v>50</v>
      </c>
      <c r="E7" s="2">
        <f t="shared" ca="1" si="0"/>
        <v>3716</v>
      </c>
      <c r="F7" s="8">
        <f t="shared" ca="1" si="1"/>
        <v>45609</v>
      </c>
      <c r="G7" s="7">
        <f t="shared" ca="1" si="2"/>
        <v>46704</v>
      </c>
      <c r="H7" s="2">
        <f t="shared" ca="1" si="7"/>
        <v>109</v>
      </c>
      <c r="I7" s="2">
        <f t="shared" ca="1" si="3"/>
        <v>74</v>
      </c>
      <c r="J7" s="2">
        <f t="shared" ca="1" si="8"/>
        <v>35</v>
      </c>
      <c r="K7" s="2" t="str">
        <f ca="1">INDEX(Данные!$D$1:$D$5, RANDBETWEEN(1,5))</f>
        <v>Пантикка</v>
      </c>
      <c r="L7" s="7">
        <f t="shared" ca="1" si="4"/>
        <v>45672</v>
      </c>
      <c r="M7" s="23">
        <f t="shared" ca="1" si="5"/>
        <v>45694</v>
      </c>
      <c r="N7" s="28">
        <f t="shared" ca="1" si="6"/>
        <v>274984</v>
      </c>
    </row>
    <row r="8" spans="1:14" x14ac:dyDescent="0.3">
      <c r="A8" s="4">
        <v>6</v>
      </c>
      <c r="B8" s="3" t="str">
        <f ca="1">INDEX(Данные!$A$1:$A$10, RANDBETWEEN(1,10))</f>
        <v>Maybelline</v>
      </c>
      <c r="C8" s="19" t="str">
        <f ca="1">INDEX(Данные!$B$1:$B$10, RANDBETWEEN(1,10))</f>
        <v>помада</v>
      </c>
      <c r="D8" s="18">
        <f ca="1">INDEX(Данные!$C$1:$C$6, RANDBETWEEN(1,6))</f>
        <v>20</v>
      </c>
      <c r="E8" s="2">
        <f t="shared" ca="1" si="0"/>
        <v>3174</v>
      </c>
      <c r="F8" s="8">
        <f t="shared" ca="1" si="1"/>
        <v>45619</v>
      </c>
      <c r="G8" s="7">
        <f t="shared" ca="1" si="2"/>
        <v>46714</v>
      </c>
      <c r="H8" s="2">
        <f t="shared" ca="1" si="7"/>
        <v>65</v>
      </c>
      <c r="I8" s="2">
        <f t="shared" ca="1" si="3"/>
        <v>20</v>
      </c>
      <c r="J8" s="2">
        <f t="shared" ca="1" si="8"/>
        <v>45</v>
      </c>
      <c r="K8" s="2" t="str">
        <f ca="1">INDEX(Данные!$D$1:$D$5, RANDBETWEEN(1,5))</f>
        <v>Соландра косметикс</v>
      </c>
      <c r="L8" s="7">
        <f t="shared" ca="1" si="4"/>
        <v>45647</v>
      </c>
      <c r="M8" s="23">
        <f t="shared" ca="1" si="5"/>
        <v>45705</v>
      </c>
      <c r="N8" s="28">
        <f t="shared" ca="1" si="6"/>
        <v>63480</v>
      </c>
    </row>
    <row r="9" spans="1:14" x14ac:dyDescent="0.3">
      <c r="A9" s="4">
        <v>7</v>
      </c>
      <c r="B9" s="3" t="str">
        <f ca="1">INDEX(Данные!$A$1:$A$10, RANDBETWEEN(1,10))</f>
        <v>NYX</v>
      </c>
      <c r="C9" s="19" t="str">
        <f ca="1">INDEX(Данные!$B$1:$B$10, RANDBETWEEN(1,10))</f>
        <v>хайлайтер</v>
      </c>
      <c r="D9" s="18">
        <f ca="1">INDEX(Данные!$C$1:$C$6, RANDBETWEEN(1,6))</f>
        <v>20</v>
      </c>
      <c r="E9" s="2">
        <f t="shared" ca="1" si="0"/>
        <v>2526</v>
      </c>
      <c r="F9" s="8">
        <f t="shared" ca="1" si="1"/>
        <v>45368</v>
      </c>
      <c r="G9" s="7">
        <f t="shared" ca="1" si="2"/>
        <v>46463</v>
      </c>
      <c r="H9" s="2">
        <f t="shared" ca="1" si="7"/>
        <v>155</v>
      </c>
      <c r="I9" s="2">
        <f t="shared" ca="1" si="3"/>
        <v>91</v>
      </c>
      <c r="J9" s="2">
        <f t="shared" ca="1" si="8"/>
        <v>64</v>
      </c>
      <c r="K9" s="2" t="str">
        <f ca="1">INDEX(Данные!$D$1:$D$5, RANDBETWEEN(1,5))</f>
        <v>органик лайн</v>
      </c>
      <c r="L9" s="7">
        <f t="shared" ca="1" si="4"/>
        <v>45620</v>
      </c>
      <c r="M9" s="23">
        <f t="shared" ca="1" si="5"/>
        <v>45677</v>
      </c>
      <c r="N9" s="28">
        <f t="shared" ca="1" si="6"/>
        <v>229866</v>
      </c>
    </row>
    <row r="10" spans="1:14" x14ac:dyDescent="0.3">
      <c r="A10" s="4">
        <v>8</v>
      </c>
      <c r="B10" s="3" t="str">
        <f ca="1">INDEX(Данные!$A$1:$A$10, RANDBETWEEN(1,10))</f>
        <v>Vichy</v>
      </c>
      <c r="C10" s="19" t="str">
        <f ca="1">INDEX(Данные!$B$1:$B$10, RANDBETWEEN(1,10))</f>
        <v>помада</v>
      </c>
      <c r="D10" s="18">
        <f ca="1">INDEX(Данные!$C$1:$C$6, RANDBETWEEN(1,6))</f>
        <v>20</v>
      </c>
      <c r="E10" s="2">
        <f t="shared" ca="1" si="0"/>
        <v>3993</v>
      </c>
      <c r="F10" s="8">
        <f t="shared" ca="1" si="1"/>
        <v>45360</v>
      </c>
      <c r="G10" s="7">
        <f t="shared" ca="1" si="2"/>
        <v>46455</v>
      </c>
      <c r="H10" s="2">
        <f t="shared" ca="1" si="7"/>
        <v>100</v>
      </c>
      <c r="I10" s="2">
        <f t="shared" ca="1" si="3"/>
        <v>61</v>
      </c>
      <c r="J10" s="2">
        <f t="shared" ca="1" si="8"/>
        <v>39</v>
      </c>
      <c r="K10" s="2" t="str">
        <f ca="1">INDEX(Данные!$D$1:$D$5, RANDBETWEEN(1,5))</f>
        <v>органик лайн</v>
      </c>
      <c r="L10" s="7">
        <f t="shared" ca="1" si="4"/>
        <v>45582</v>
      </c>
      <c r="M10" s="23">
        <f t="shared" ca="1" si="5"/>
        <v>45696</v>
      </c>
      <c r="N10" s="28">
        <f t="shared" ca="1" si="6"/>
        <v>243573</v>
      </c>
    </row>
    <row r="11" spans="1:14" x14ac:dyDescent="0.3">
      <c r="A11" s="4">
        <v>9</v>
      </c>
      <c r="B11" s="3" t="str">
        <f ca="1">INDEX(Данные!$A$1:$A$10, RANDBETWEEN(1,10))</f>
        <v>Kiko</v>
      </c>
      <c r="C11" s="19" t="str">
        <f ca="1">INDEX(Данные!$B$1:$B$10, RANDBETWEEN(1,10))</f>
        <v>тушь</v>
      </c>
      <c r="D11" s="18">
        <f ca="1">INDEX(Данные!$C$1:$C$6, RANDBETWEEN(1,6))</f>
        <v>20</v>
      </c>
      <c r="E11" s="2">
        <f t="shared" ca="1" si="0"/>
        <v>2712</v>
      </c>
      <c r="F11" s="8">
        <f t="shared" ca="1" si="1"/>
        <v>45477</v>
      </c>
      <c r="G11" s="7">
        <f t="shared" ca="1" si="2"/>
        <v>46572</v>
      </c>
      <c r="H11" s="2">
        <f t="shared" ca="1" si="7"/>
        <v>114</v>
      </c>
      <c r="I11" s="2">
        <f t="shared" ca="1" si="3"/>
        <v>84</v>
      </c>
      <c r="J11" s="2">
        <f t="shared" ca="1" si="8"/>
        <v>30</v>
      </c>
      <c r="K11" s="2" t="str">
        <f ca="1">INDEX(Данные!$D$1:$D$5, RANDBETWEEN(1,5))</f>
        <v>Пантикка</v>
      </c>
      <c r="L11" s="7">
        <f t="shared" ca="1" si="4"/>
        <v>45700</v>
      </c>
      <c r="M11" s="23">
        <f t="shared" ca="1" si="5"/>
        <v>45701</v>
      </c>
      <c r="N11" s="28">
        <f t="shared" ca="1" si="6"/>
        <v>227808</v>
      </c>
    </row>
    <row r="12" spans="1:14" x14ac:dyDescent="0.3">
      <c r="A12" s="4">
        <v>10</v>
      </c>
      <c r="B12" s="3" t="str">
        <f ca="1">INDEX(Данные!$A$1:$A$10, RANDBETWEEN(1,10))</f>
        <v>CeraVe</v>
      </c>
      <c r="C12" s="19" t="str">
        <f ca="1">INDEX(Данные!$B$1:$B$10, RANDBETWEEN(1,10))</f>
        <v>пенка для умывания</v>
      </c>
      <c r="D12" s="18">
        <f ca="1">INDEX(Данные!$C$1:$C$6, RANDBETWEEN(1,6))</f>
        <v>30</v>
      </c>
      <c r="E12" s="2">
        <f t="shared" ca="1" si="0"/>
        <v>2345</v>
      </c>
      <c r="F12" s="8">
        <f t="shared" ca="1" si="1"/>
        <v>45423</v>
      </c>
      <c r="G12" s="7">
        <f t="shared" ca="1" si="2"/>
        <v>46518</v>
      </c>
      <c r="H12" s="2">
        <f t="shared" ca="1" si="7"/>
        <v>289</v>
      </c>
      <c r="I12" s="2">
        <f t="shared" ca="1" si="3"/>
        <v>198</v>
      </c>
      <c r="J12" s="2">
        <f t="shared" ca="1" si="8"/>
        <v>91</v>
      </c>
      <c r="K12" s="2" t="str">
        <f ca="1">INDEX(Данные!$D$1:$D$5, RANDBETWEEN(1,5))</f>
        <v>органик лайн</v>
      </c>
      <c r="L12" s="7">
        <f t="shared" ca="1" si="4"/>
        <v>45590</v>
      </c>
      <c r="M12" s="23">
        <f t="shared" ca="1" si="5"/>
        <v>45678</v>
      </c>
      <c r="N12" s="28">
        <f t="shared" ca="1" si="6"/>
        <v>464310</v>
      </c>
    </row>
    <row r="13" spans="1:14" x14ac:dyDescent="0.3">
      <c r="A13" s="4">
        <v>11</v>
      </c>
      <c r="B13" s="3" t="str">
        <f ca="1">INDEX(Данные!$A$1:$A$10, RANDBETWEEN(1,10))</f>
        <v>CeraVe</v>
      </c>
      <c r="C13" s="19" t="str">
        <f ca="1">INDEX(Данные!$B$1:$B$10, RANDBETWEEN(1,10))</f>
        <v>блеск для губ</v>
      </c>
      <c r="D13" s="18">
        <f ca="1">INDEX(Данные!$C$1:$C$6, RANDBETWEEN(1,6))</f>
        <v>30</v>
      </c>
      <c r="E13" s="2">
        <f t="shared" ca="1" si="0"/>
        <v>1518</v>
      </c>
      <c r="F13" s="8">
        <f t="shared" ca="1" si="1"/>
        <v>45640</v>
      </c>
      <c r="G13" s="7">
        <f t="shared" ca="1" si="2"/>
        <v>46735</v>
      </c>
      <c r="H13" s="2">
        <f t="shared" ca="1" si="7"/>
        <v>229</v>
      </c>
      <c r="I13" s="2">
        <f t="shared" ca="1" si="3"/>
        <v>220</v>
      </c>
      <c r="J13" s="2">
        <f t="shared" ca="1" si="8"/>
        <v>9</v>
      </c>
      <c r="K13" s="2" t="str">
        <f ca="1">INDEX(Данные!$D$1:$D$5, RANDBETWEEN(1,5))</f>
        <v>мир красоты</v>
      </c>
      <c r="L13" s="7">
        <f t="shared" ca="1" si="4"/>
        <v>45666</v>
      </c>
      <c r="M13" s="23">
        <f t="shared" ca="1" si="5"/>
        <v>45692</v>
      </c>
      <c r="N13" s="28">
        <f t="shared" ca="1" si="6"/>
        <v>333960</v>
      </c>
    </row>
    <row r="14" spans="1:14" x14ac:dyDescent="0.3">
      <c r="A14" s="4">
        <v>12</v>
      </c>
      <c r="B14" s="3" t="str">
        <f ca="1">INDEX(Данные!$A$1:$A$10, RANDBETWEEN(1,10))</f>
        <v>Essence</v>
      </c>
      <c r="C14" s="19" t="str">
        <f ca="1">INDEX(Данные!$B$1:$B$10, RANDBETWEEN(1,10))</f>
        <v>тушь</v>
      </c>
      <c r="D14" s="18">
        <f ca="1">INDEX(Данные!$C$1:$C$6, RANDBETWEEN(1,6))</f>
        <v>50</v>
      </c>
      <c r="E14" s="2">
        <f t="shared" ca="1" si="0"/>
        <v>4863</v>
      </c>
      <c r="F14" s="8">
        <f t="shared" ca="1" si="1"/>
        <v>45535</v>
      </c>
      <c r="G14" s="7">
        <f t="shared" ca="1" si="2"/>
        <v>46630</v>
      </c>
      <c r="H14" s="2">
        <f t="shared" ca="1" si="7"/>
        <v>275</v>
      </c>
      <c r="I14" s="2">
        <f t="shared" ca="1" si="3"/>
        <v>254</v>
      </c>
      <c r="J14" s="2">
        <f t="shared" ca="1" si="8"/>
        <v>21</v>
      </c>
      <c r="K14" s="2" t="str">
        <f ca="1">INDEX(Данные!$D$1:$D$5, RANDBETWEEN(1,5))</f>
        <v>мир красоты</v>
      </c>
      <c r="L14" s="7">
        <f t="shared" ca="1" si="4"/>
        <v>45538</v>
      </c>
      <c r="M14" s="23">
        <f t="shared" ca="1" si="5"/>
        <v>45668</v>
      </c>
      <c r="N14" s="28">
        <f t="shared" ca="1" si="6"/>
        <v>1235202</v>
      </c>
    </row>
    <row r="15" spans="1:14" x14ac:dyDescent="0.3">
      <c r="A15" s="4">
        <v>13</v>
      </c>
      <c r="B15" s="3" t="str">
        <f ca="1">INDEX(Данные!$A$1:$A$10, RANDBETWEEN(1,10))</f>
        <v>Kiko</v>
      </c>
      <c r="C15" s="19" t="str">
        <f ca="1">INDEX(Данные!$B$1:$B$10, RANDBETWEEN(1,10))</f>
        <v>блеск для губ</v>
      </c>
      <c r="D15" s="18">
        <f ca="1">INDEX(Данные!$C$1:$C$6, RANDBETWEEN(1,6))</f>
        <v>100</v>
      </c>
      <c r="E15" s="2">
        <f t="shared" ca="1" si="0"/>
        <v>4838</v>
      </c>
      <c r="F15" s="8">
        <f t="shared" ca="1" si="1"/>
        <v>45418</v>
      </c>
      <c r="G15" s="7">
        <f t="shared" ca="1" si="2"/>
        <v>46513</v>
      </c>
      <c r="H15" s="2">
        <f t="shared" ca="1" si="7"/>
        <v>168</v>
      </c>
      <c r="I15" s="2">
        <f t="shared" ca="1" si="3"/>
        <v>71</v>
      </c>
      <c r="J15" s="2">
        <f t="shared" ca="1" si="8"/>
        <v>97</v>
      </c>
      <c r="K15" s="2" t="str">
        <f ca="1">INDEX(Данные!$D$1:$D$5, RANDBETWEEN(1,5))</f>
        <v>Пантикка</v>
      </c>
      <c r="L15" s="7">
        <f t="shared" ca="1" si="4"/>
        <v>45581</v>
      </c>
      <c r="M15" s="23">
        <f t="shared" ca="1" si="5"/>
        <v>45608</v>
      </c>
      <c r="N15" s="28">
        <f t="shared" ca="1" si="6"/>
        <v>343498</v>
      </c>
    </row>
    <row r="16" spans="1:14" x14ac:dyDescent="0.3">
      <c r="A16" s="4">
        <v>14</v>
      </c>
      <c r="B16" s="3" t="str">
        <f ca="1">INDEX(Данные!$A$1:$A$10, RANDBETWEEN(1,10))</f>
        <v>Loreal Paris</v>
      </c>
      <c r="C16" s="19" t="str">
        <f ca="1">INDEX(Данные!$B$1:$B$10, RANDBETWEEN(1,10))</f>
        <v>хайлайтер</v>
      </c>
      <c r="D16" s="18">
        <f ca="1">INDEX(Данные!$C$1:$C$6, RANDBETWEEN(1,6))</f>
        <v>50</v>
      </c>
      <c r="E16" s="2">
        <f t="shared" ca="1" si="0"/>
        <v>3530</v>
      </c>
      <c r="F16" s="8">
        <f t="shared" ca="1" si="1"/>
        <v>45621</v>
      </c>
      <c r="G16" s="7">
        <f t="shared" ca="1" si="2"/>
        <v>46716</v>
      </c>
      <c r="H16" s="2">
        <f t="shared" ca="1" si="7"/>
        <v>198</v>
      </c>
      <c r="I16" s="2">
        <f t="shared" ca="1" si="3"/>
        <v>149</v>
      </c>
      <c r="J16" s="2">
        <f t="shared" ca="1" si="8"/>
        <v>49</v>
      </c>
      <c r="K16" s="2" t="str">
        <f ca="1">INDEX(Данные!$D$1:$D$5, RANDBETWEEN(1,5))</f>
        <v>ИП Иванова</v>
      </c>
      <c r="L16" s="7">
        <f t="shared" ca="1" si="4"/>
        <v>45693</v>
      </c>
      <c r="M16" s="23">
        <f t="shared" ca="1" si="5"/>
        <v>45704</v>
      </c>
      <c r="N16" s="28">
        <f t="shared" ca="1" si="6"/>
        <v>525970</v>
      </c>
    </row>
    <row r="17" spans="1:14" x14ac:dyDescent="0.3">
      <c r="A17" s="4">
        <v>15</v>
      </c>
      <c r="B17" s="3" t="str">
        <f ca="1">INDEX(Данные!$A$1:$A$10, RANDBETWEEN(1,10))</f>
        <v>NYX</v>
      </c>
      <c r="C17" s="19" t="str">
        <f ca="1">INDEX(Данные!$B$1:$B$10, RANDBETWEEN(1,10))</f>
        <v>консилер</v>
      </c>
      <c r="D17" s="18">
        <f ca="1">INDEX(Данные!$C$1:$C$6, RANDBETWEEN(1,6))</f>
        <v>10</v>
      </c>
      <c r="E17" s="2">
        <f t="shared" ca="1" si="0"/>
        <v>3594</v>
      </c>
      <c r="F17" s="8">
        <f t="shared" ca="1" si="1"/>
        <v>45603</v>
      </c>
      <c r="G17" s="7">
        <f t="shared" ca="1" si="2"/>
        <v>46698</v>
      </c>
      <c r="H17" s="2">
        <f t="shared" ca="1" si="7"/>
        <v>145</v>
      </c>
      <c r="I17" s="2">
        <f t="shared" ca="1" si="3"/>
        <v>5</v>
      </c>
      <c r="J17" s="2">
        <f t="shared" ca="1" si="8"/>
        <v>140</v>
      </c>
      <c r="K17" s="2" t="str">
        <f ca="1">INDEX(Данные!$D$1:$D$5, RANDBETWEEN(1,5))</f>
        <v>Пантикка</v>
      </c>
      <c r="L17" s="7">
        <f t="shared" ca="1" si="4"/>
        <v>45668</v>
      </c>
      <c r="M17" s="23">
        <f t="shared" ca="1" si="5"/>
        <v>45696</v>
      </c>
      <c r="N17" s="28">
        <f t="shared" ca="1" si="6"/>
        <v>17970</v>
      </c>
    </row>
    <row r="18" spans="1:14" x14ac:dyDescent="0.3">
      <c r="A18" s="4">
        <v>16</v>
      </c>
      <c r="B18" s="3" t="str">
        <f ca="1">INDEX(Данные!$A$1:$A$10, RANDBETWEEN(1,10))</f>
        <v>Clinique</v>
      </c>
      <c r="C18" s="19" t="str">
        <f ca="1">INDEX(Данные!$B$1:$B$10, RANDBETWEEN(1,10))</f>
        <v>блеск для губ</v>
      </c>
      <c r="D18" s="18">
        <f ca="1">INDEX(Данные!$C$1:$C$6, RANDBETWEEN(1,6))</f>
        <v>20</v>
      </c>
      <c r="E18" s="2">
        <f t="shared" ca="1" si="0"/>
        <v>2508</v>
      </c>
      <c r="F18" s="8">
        <f t="shared" ca="1" si="1"/>
        <v>45675</v>
      </c>
      <c r="G18" s="7">
        <f t="shared" ca="1" si="2"/>
        <v>46770</v>
      </c>
      <c r="H18" s="2">
        <f t="shared" ca="1" si="7"/>
        <v>287</v>
      </c>
      <c r="I18" s="2">
        <f t="shared" ca="1" si="3"/>
        <v>66</v>
      </c>
      <c r="J18" s="2">
        <f t="shared" ca="1" si="8"/>
        <v>221</v>
      </c>
      <c r="K18" s="2" t="str">
        <f ca="1">INDEX(Данные!$D$1:$D$5, RANDBETWEEN(1,5))</f>
        <v>органик лайн</v>
      </c>
      <c r="L18" s="7">
        <f t="shared" ca="1" si="4"/>
        <v>45681</v>
      </c>
      <c r="M18" s="23">
        <f t="shared" ca="1" si="5"/>
        <v>45691</v>
      </c>
      <c r="N18" s="28">
        <f t="shared" ca="1" si="6"/>
        <v>165528</v>
      </c>
    </row>
    <row r="19" spans="1:14" x14ac:dyDescent="0.3">
      <c r="A19" s="4">
        <v>17</v>
      </c>
      <c r="B19" s="3" t="str">
        <f ca="1">INDEX(Данные!$A$1:$A$10, RANDBETWEEN(1,10))</f>
        <v>Clinique</v>
      </c>
      <c r="C19" s="19" t="str">
        <f ca="1">INDEX(Данные!$B$1:$B$10, RANDBETWEEN(1,10))</f>
        <v>пенка для умывания</v>
      </c>
      <c r="D19" s="18">
        <f ca="1">INDEX(Данные!$C$1:$C$6, RANDBETWEEN(1,6))</f>
        <v>30</v>
      </c>
      <c r="E19" s="2">
        <f t="shared" ca="1" si="0"/>
        <v>693</v>
      </c>
      <c r="F19" s="8">
        <f t="shared" ca="1" si="1"/>
        <v>45525</v>
      </c>
      <c r="G19" s="7">
        <f t="shared" ca="1" si="2"/>
        <v>46620</v>
      </c>
      <c r="H19" s="2">
        <f t="shared" ca="1" si="7"/>
        <v>251</v>
      </c>
      <c r="I19" s="2">
        <f t="shared" ca="1" si="3"/>
        <v>9</v>
      </c>
      <c r="J19" s="2">
        <f t="shared" ca="1" si="8"/>
        <v>242</v>
      </c>
      <c r="K19" s="2" t="str">
        <f ca="1">INDEX(Данные!$D$1:$D$5, RANDBETWEEN(1,5))</f>
        <v>ИП Иванова</v>
      </c>
      <c r="L19" s="7">
        <f t="shared" ca="1" si="4"/>
        <v>45699</v>
      </c>
      <c r="M19" s="23">
        <f t="shared" ca="1" si="5"/>
        <v>45700</v>
      </c>
      <c r="N19" s="28">
        <f t="shared" ca="1" si="6"/>
        <v>6237</v>
      </c>
    </row>
    <row r="20" spans="1:14" x14ac:dyDescent="0.3">
      <c r="A20" s="4">
        <v>18</v>
      </c>
      <c r="B20" s="3" t="str">
        <f ca="1">INDEX(Данные!$A$1:$A$10, RANDBETWEEN(1,10))</f>
        <v>Clarins</v>
      </c>
      <c r="C20" s="19" t="str">
        <f ca="1">INDEX(Данные!$B$1:$B$10, RANDBETWEEN(1,10))</f>
        <v>блеск для губ</v>
      </c>
      <c r="D20" s="18">
        <f ca="1">INDEX(Данные!$C$1:$C$6, RANDBETWEEN(1,6))</f>
        <v>20</v>
      </c>
      <c r="E20" s="2">
        <f t="shared" ca="1" si="0"/>
        <v>1392</v>
      </c>
      <c r="F20" s="8">
        <f t="shared" ca="1" si="1"/>
        <v>45578</v>
      </c>
      <c r="G20" s="7">
        <f t="shared" ca="1" si="2"/>
        <v>46673</v>
      </c>
      <c r="H20" s="2">
        <f t="shared" ca="1" si="7"/>
        <v>289</v>
      </c>
      <c r="I20" s="2">
        <f t="shared" ca="1" si="3"/>
        <v>241</v>
      </c>
      <c r="J20" s="2">
        <f t="shared" ca="1" si="8"/>
        <v>48</v>
      </c>
      <c r="K20" s="2" t="str">
        <f ca="1">INDEX(Данные!$D$1:$D$5, RANDBETWEEN(1,5))</f>
        <v>Соландра косметикс</v>
      </c>
      <c r="L20" s="7">
        <f t="shared" ca="1" si="4"/>
        <v>45617</v>
      </c>
      <c r="M20" s="23">
        <f t="shared" ca="1" si="5"/>
        <v>45657</v>
      </c>
      <c r="N20" s="28">
        <f t="shared" ca="1" si="6"/>
        <v>335472</v>
      </c>
    </row>
    <row r="21" spans="1:14" x14ac:dyDescent="0.3">
      <c r="A21" s="4">
        <v>19</v>
      </c>
      <c r="B21" s="3" t="str">
        <f ca="1">INDEX(Данные!$A$1:$A$10, RANDBETWEEN(1,10))</f>
        <v>Vichy</v>
      </c>
      <c r="C21" s="19" t="str">
        <f ca="1">INDEX(Данные!$B$1:$B$10, RANDBETWEEN(1,10))</f>
        <v>хайлайтер</v>
      </c>
      <c r="D21" s="18">
        <f ca="1">INDEX(Данные!$C$1:$C$6, RANDBETWEEN(1,6))</f>
        <v>100</v>
      </c>
      <c r="E21" s="2">
        <f t="shared" ca="1" si="0"/>
        <v>1690</v>
      </c>
      <c r="F21" s="8">
        <f t="shared" ca="1" si="1"/>
        <v>45669</v>
      </c>
      <c r="G21" s="7">
        <f t="shared" ca="1" si="2"/>
        <v>46764</v>
      </c>
      <c r="H21" s="2">
        <f t="shared" ca="1" si="7"/>
        <v>160</v>
      </c>
      <c r="I21" s="2">
        <f t="shared" ca="1" si="3"/>
        <v>26</v>
      </c>
      <c r="J21" s="2">
        <f t="shared" ca="1" si="8"/>
        <v>134</v>
      </c>
      <c r="K21" s="2" t="str">
        <f ca="1">INDEX(Данные!$D$1:$D$5, RANDBETWEEN(1,5))</f>
        <v>ИП Иванова</v>
      </c>
      <c r="L21" s="7">
        <f t="shared" ca="1" si="4"/>
        <v>45674</v>
      </c>
      <c r="M21" s="23">
        <f t="shared" ca="1" si="5"/>
        <v>45675</v>
      </c>
      <c r="N21" s="28">
        <f t="shared" ca="1" si="6"/>
        <v>43940</v>
      </c>
    </row>
    <row r="22" spans="1:14" x14ac:dyDescent="0.3">
      <c r="A22" s="4">
        <v>20</v>
      </c>
      <c r="B22" s="3" t="str">
        <f ca="1">INDEX(Данные!$A$1:$A$10, RANDBETWEEN(1,10))</f>
        <v>Clinique</v>
      </c>
      <c r="C22" s="19" t="str">
        <f ca="1">INDEX(Данные!$B$1:$B$10, RANDBETWEEN(1,10))</f>
        <v>скульптор</v>
      </c>
      <c r="D22" s="18">
        <f ca="1">INDEX(Данные!$C$1:$C$6, RANDBETWEEN(1,6))</f>
        <v>20</v>
      </c>
      <c r="E22" s="2">
        <f t="shared" ca="1" si="0"/>
        <v>1447</v>
      </c>
      <c r="F22" s="8">
        <f t="shared" ca="1" si="1"/>
        <v>45458</v>
      </c>
      <c r="G22" s="7">
        <f t="shared" ca="1" si="2"/>
        <v>46553</v>
      </c>
      <c r="H22" s="2">
        <f t="shared" ca="1" si="7"/>
        <v>265</v>
      </c>
      <c r="I22" s="2">
        <f t="shared" ca="1" si="3"/>
        <v>224</v>
      </c>
      <c r="J22" s="2">
        <f t="shared" ca="1" si="8"/>
        <v>41</v>
      </c>
      <c r="K22" s="2" t="str">
        <f ca="1">INDEX(Данные!$D$1:$D$5, RANDBETWEEN(1,5))</f>
        <v>органик лайн</v>
      </c>
      <c r="L22" s="7">
        <f t="shared" ca="1" si="4"/>
        <v>45610</v>
      </c>
      <c r="M22" s="23">
        <f t="shared" ca="1" si="5"/>
        <v>45682</v>
      </c>
      <c r="N22" s="28">
        <f t="shared" ca="1" si="6"/>
        <v>324128</v>
      </c>
    </row>
    <row r="23" spans="1:14" x14ac:dyDescent="0.3">
      <c r="A23" s="4">
        <v>21</v>
      </c>
      <c r="B23" s="3" t="str">
        <f ca="1">INDEX(Данные!$A$1:$A$10, RANDBETWEEN(1,10))</f>
        <v>Clarins</v>
      </c>
      <c r="C23" s="19" t="str">
        <f ca="1">INDEX(Данные!$B$1:$B$10, RANDBETWEEN(1,10))</f>
        <v>праймер</v>
      </c>
      <c r="D23" s="18">
        <f ca="1">INDEX(Данные!$C$1:$C$6, RANDBETWEEN(1,6))</f>
        <v>15</v>
      </c>
      <c r="E23" s="2">
        <f t="shared" ca="1" si="0"/>
        <v>4083</v>
      </c>
      <c r="F23" s="8">
        <f t="shared" ca="1" si="1"/>
        <v>45676</v>
      </c>
      <c r="G23" s="7">
        <f t="shared" ca="1" si="2"/>
        <v>46771</v>
      </c>
      <c r="H23" s="2">
        <f t="shared" ca="1" si="7"/>
        <v>147</v>
      </c>
      <c r="I23" s="2">
        <f t="shared" ca="1" si="3"/>
        <v>40</v>
      </c>
      <c r="J23" s="2">
        <f t="shared" ca="1" si="8"/>
        <v>107</v>
      </c>
      <c r="K23" s="2" t="str">
        <f ca="1">INDEX(Данные!$D$1:$D$5, RANDBETWEEN(1,5))</f>
        <v>Пантикка</v>
      </c>
      <c r="L23" s="7">
        <f t="shared" ca="1" si="4"/>
        <v>45701</v>
      </c>
      <c r="M23" s="23">
        <f t="shared" ca="1" si="5"/>
        <v>45705</v>
      </c>
      <c r="N23" s="28">
        <f t="shared" ca="1" si="6"/>
        <v>163320</v>
      </c>
    </row>
    <row r="24" spans="1:14" x14ac:dyDescent="0.3">
      <c r="A24" s="4">
        <v>22</v>
      </c>
      <c r="B24" s="3" t="str">
        <f ca="1">INDEX(Данные!$A$1:$A$10, RANDBETWEEN(1,10))</f>
        <v>Vichy</v>
      </c>
      <c r="C24" s="19" t="str">
        <f ca="1">INDEX(Данные!$B$1:$B$10, RANDBETWEEN(1,10))</f>
        <v>помада</v>
      </c>
      <c r="D24" s="18">
        <f ca="1">INDEX(Данные!$C$1:$C$6, RANDBETWEEN(1,6))</f>
        <v>50</v>
      </c>
      <c r="E24" s="2">
        <f t="shared" ca="1" si="0"/>
        <v>2764</v>
      </c>
      <c r="F24" s="8">
        <f t="shared" ca="1" si="1"/>
        <v>45678</v>
      </c>
      <c r="G24" s="7">
        <f t="shared" ca="1" si="2"/>
        <v>46773</v>
      </c>
      <c r="H24" s="2">
        <f t="shared" ca="1" si="7"/>
        <v>155</v>
      </c>
      <c r="I24" s="2">
        <f t="shared" ca="1" si="3"/>
        <v>64</v>
      </c>
      <c r="J24" s="2">
        <f t="shared" ca="1" si="8"/>
        <v>91</v>
      </c>
      <c r="K24" s="2" t="str">
        <f ca="1">INDEX(Данные!$D$1:$D$5, RANDBETWEEN(1,5))</f>
        <v>Пантикка</v>
      </c>
      <c r="L24" s="7">
        <f t="shared" ca="1" si="4"/>
        <v>45686</v>
      </c>
      <c r="M24" s="23">
        <f t="shared" ca="1" si="5"/>
        <v>45688</v>
      </c>
      <c r="N24" s="28">
        <f t="shared" ca="1" si="6"/>
        <v>176896</v>
      </c>
    </row>
    <row r="25" spans="1:14" x14ac:dyDescent="0.3">
      <c r="A25" s="4">
        <v>23</v>
      </c>
      <c r="B25" s="3" t="str">
        <f ca="1">INDEX(Данные!$A$1:$A$10, RANDBETWEEN(1,10))</f>
        <v>NYX</v>
      </c>
      <c r="C25" s="19" t="str">
        <f ca="1">INDEX(Данные!$B$1:$B$10, RANDBETWEEN(1,10))</f>
        <v>помада</v>
      </c>
      <c r="D25" s="18">
        <f ca="1">INDEX(Данные!$C$1:$C$6, RANDBETWEEN(1,6))</f>
        <v>20</v>
      </c>
      <c r="E25" s="2">
        <f t="shared" ca="1" si="0"/>
        <v>4428</v>
      </c>
      <c r="F25" s="8">
        <f t="shared" ca="1" si="1"/>
        <v>45468</v>
      </c>
      <c r="G25" s="7">
        <f t="shared" ca="1" si="2"/>
        <v>46563</v>
      </c>
      <c r="H25" s="2">
        <f t="shared" ca="1" si="7"/>
        <v>128</v>
      </c>
      <c r="I25" s="2">
        <f t="shared" ca="1" si="3"/>
        <v>61</v>
      </c>
      <c r="J25" s="2">
        <f t="shared" ca="1" si="8"/>
        <v>67</v>
      </c>
      <c r="K25" s="2" t="str">
        <f ca="1">INDEX(Данные!$D$1:$D$5, RANDBETWEEN(1,5))</f>
        <v>Пантикка</v>
      </c>
      <c r="L25" s="7">
        <f t="shared" ca="1" si="4"/>
        <v>45492</v>
      </c>
      <c r="M25" s="23">
        <f t="shared" ca="1" si="5"/>
        <v>45508</v>
      </c>
      <c r="N25" s="28">
        <f t="shared" ca="1" si="6"/>
        <v>270108</v>
      </c>
    </row>
    <row r="26" spans="1:14" x14ac:dyDescent="0.3">
      <c r="A26" s="4">
        <v>24</v>
      </c>
      <c r="B26" s="3" t="str">
        <f ca="1">INDEX(Данные!$A$1:$A$10, RANDBETWEEN(1,10))</f>
        <v>Loreal Paris</v>
      </c>
      <c r="C26" s="19" t="str">
        <f ca="1">INDEX(Данные!$B$1:$B$10, RANDBETWEEN(1,10))</f>
        <v>скульптор</v>
      </c>
      <c r="D26" s="18">
        <f ca="1">INDEX(Данные!$C$1:$C$6, RANDBETWEEN(1,6))</f>
        <v>30</v>
      </c>
      <c r="E26" s="2">
        <f t="shared" ca="1" si="0"/>
        <v>4919</v>
      </c>
      <c r="F26" s="8">
        <f t="shared" ca="1" si="1"/>
        <v>45570</v>
      </c>
      <c r="G26" s="7">
        <f t="shared" ca="1" si="2"/>
        <v>46665</v>
      </c>
      <c r="H26" s="2">
        <f t="shared" ca="1" si="7"/>
        <v>244</v>
      </c>
      <c r="I26" s="2">
        <f t="shared" ca="1" si="3"/>
        <v>27</v>
      </c>
      <c r="J26" s="2">
        <f t="shared" ca="1" si="8"/>
        <v>217</v>
      </c>
      <c r="K26" s="2" t="str">
        <f ca="1">INDEX(Данные!$D$1:$D$5, RANDBETWEEN(1,5))</f>
        <v>органик лайн</v>
      </c>
      <c r="L26" s="7">
        <f t="shared" ca="1" si="4"/>
        <v>45587</v>
      </c>
      <c r="M26" s="23">
        <f t="shared" ca="1" si="5"/>
        <v>45636</v>
      </c>
      <c r="N26" s="28">
        <f t="shared" ca="1" si="6"/>
        <v>132813</v>
      </c>
    </row>
    <row r="27" spans="1:14" x14ac:dyDescent="0.3">
      <c r="A27" s="4">
        <v>25</v>
      </c>
      <c r="B27" s="3" t="str">
        <f ca="1">INDEX(Данные!$A$1:$A$10, RANDBETWEEN(1,10))</f>
        <v>Clinique</v>
      </c>
      <c r="C27" s="19" t="str">
        <f ca="1">INDEX(Данные!$B$1:$B$10, RANDBETWEEN(1,10))</f>
        <v>праймер</v>
      </c>
      <c r="D27" s="18">
        <f ca="1">INDEX(Данные!$C$1:$C$6, RANDBETWEEN(1,6))</f>
        <v>15</v>
      </c>
      <c r="E27" s="2">
        <f t="shared" ca="1" si="0"/>
        <v>1983</v>
      </c>
      <c r="F27" s="8">
        <f t="shared" ca="1" si="1"/>
        <v>45396</v>
      </c>
      <c r="G27" s="7">
        <f t="shared" ca="1" si="2"/>
        <v>46491</v>
      </c>
      <c r="H27" s="2">
        <f t="shared" ca="1" si="7"/>
        <v>153</v>
      </c>
      <c r="I27" s="2">
        <f t="shared" ca="1" si="3"/>
        <v>13</v>
      </c>
      <c r="J27" s="2">
        <f t="shared" ca="1" si="8"/>
        <v>140</v>
      </c>
      <c r="K27" s="2" t="str">
        <f ca="1">INDEX(Данные!$D$1:$D$5, RANDBETWEEN(1,5))</f>
        <v>Пантикка</v>
      </c>
      <c r="L27" s="7">
        <f t="shared" ca="1" si="4"/>
        <v>45574</v>
      </c>
      <c r="M27" s="23">
        <f t="shared" ca="1" si="5"/>
        <v>45581</v>
      </c>
      <c r="N27" s="28">
        <f t="shared" ca="1" si="6"/>
        <v>25779</v>
      </c>
    </row>
    <row r="28" spans="1:14" x14ac:dyDescent="0.3">
      <c r="A28" s="4">
        <v>26</v>
      </c>
      <c r="B28" s="3" t="str">
        <f ca="1">INDEX(Данные!$A$1:$A$10, RANDBETWEEN(1,10))</f>
        <v>Clinique</v>
      </c>
      <c r="C28" s="19" t="str">
        <f ca="1">INDEX(Данные!$B$1:$B$10, RANDBETWEEN(1,10))</f>
        <v>консилер</v>
      </c>
      <c r="D28" s="18">
        <f ca="1">INDEX(Данные!$C$1:$C$6, RANDBETWEEN(1,6))</f>
        <v>50</v>
      </c>
      <c r="E28" s="2">
        <f t="shared" ca="1" si="0"/>
        <v>4863</v>
      </c>
      <c r="F28" s="8">
        <f t="shared" ca="1" si="1"/>
        <v>45480</v>
      </c>
      <c r="G28" s="7">
        <f t="shared" ca="1" si="2"/>
        <v>46575</v>
      </c>
      <c r="H28" s="2">
        <f t="shared" ca="1" si="7"/>
        <v>205</v>
      </c>
      <c r="I28" s="2">
        <f t="shared" ca="1" si="3"/>
        <v>136</v>
      </c>
      <c r="J28" s="2">
        <f t="shared" ca="1" si="8"/>
        <v>69</v>
      </c>
      <c r="K28" s="2" t="str">
        <f ca="1">INDEX(Данные!$D$1:$D$5, RANDBETWEEN(1,5))</f>
        <v>органик лайн</v>
      </c>
      <c r="L28" s="7">
        <f t="shared" ca="1" si="4"/>
        <v>45502</v>
      </c>
      <c r="M28" s="23">
        <f t="shared" ca="1" si="5"/>
        <v>45578</v>
      </c>
      <c r="N28" s="28">
        <f t="shared" ca="1" si="6"/>
        <v>661368</v>
      </c>
    </row>
    <row r="29" spans="1:14" x14ac:dyDescent="0.3">
      <c r="A29" s="4">
        <v>27</v>
      </c>
      <c r="B29" s="3" t="str">
        <f ca="1">INDEX(Данные!$A$1:$A$10, RANDBETWEEN(1,10))</f>
        <v>NYX</v>
      </c>
      <c r="C29" s="19" t="str">
        <f ca="1">INDEX(Данные!$B$1:$B$10, RANDBETWEEN(1,10))</f>
        <v>консилер</v>
      </c>
      <c r="D29" s="18">
        <f ca="1">INDEX(Данные!$C$1:$C$6, RANDBETWEEN(1,6))</f>
        <v>30</v>
      </c>
      <c r="E29" s="2">
        <f t="shared" ca="1" si="0"/>
        <v>3940</v>
      </c>
      <c r="F29" s="8">
        <f t="shared" ca="1" si="1"/>
        <v>45528</v>
      </c>
      <c r="G29" s="7">
        <f t="shared" ca="1" si="2"/>
        <v>46623</v>
      </c>
      <c r="H29" s="2">
        <f t="shared" ca="1" si="7"/>
        <v>238</v>
      </c>
      <c r="I29" s="2">
        <f t="shared" ca="1" si="3"/>
        <v>184</v>
      </c>
      <c r="J29" s="2">
        <f t="shared" ca="1" si="8"/>
        <v>54</v>
      </c>
      <c r="K29" s="2" t="str">
        <f ca="1">INDEX(Данные!$D$1:$D$5, RANDBETWEEN(1,5))</f>
        <v>Соландра косметикс</v>
      </c>
      <c r="L29" s="7">
        <f t="shared" ca="1" si="4"/>
        <v>45532</v>
      </c>
      <c r="M29" s="23">
        <f t="shared" ca="1" si="5"/>
        <v>45649</v>
      </c>
      <c r="N29" s="28">
        <f t="shared" ca="1" si="6"/>
        <v>724960</v>
      </c>
    </row>
    <row r="30" spans="1:14" x14ac:dyDescent="0.3">
      <c r="A30" s="4">
        <v>28</v>
      </c>
      <c r="B30" s="3" t="str">
        <f ca="1">INDEX(Данные!$A$1:$A$10, RANDBETWEEN(1,10))</f>
        <v>NYX</v>
      </c>
      <c r="C30" s="19" t="str">
        <f ca="1">INDEX(Данные!$B$1:$B$10, RANDBETWEEN(1,10))</f>
        <v>тональная основа</v>
      </c>
      <c r="D30" s="18">
        <f ca="1">INDEX(Данные!$C$1:$C$6, RANDBETWEEN(1,6))</f>
        <v>30</v>
      </c>
      <c r="E30" s="2">
        <f t="shared" ca="1" si="0"/>
        <v>1756</v>
      </c>
      <c r="F30" s="8">
        <f t="shared" ca="1" si="1"/>
        <v>45586</v>
      </c>
      <c r="G30" s="7">
        <f t="shared" ca="1" si="2"/>
        <v>46681</v>
      </c>
      <c r="H30" s="2">
        <f t="shared" ca="1" si="7"/>
        <v>77</v>
      </c>
      <c r="I30" s="2">
        <f t="shared" ca="1" si="3"/>
        <v>47</v>
      </c>
      <c r="J30" s="2">
        <f t="shared" ca="1" si="8"/>
        <v>30</v>
      </c>
      <c r="K30" s="2" t="str">
        <f ca="1">INDEX(Данные!$D$1:$D$5, RANDBETWEEN(1,5))</f>
        <v>Соландра косметикс</v>
      </c>
      <c r="L30" s="7">
        <f t="shared" ca="1" si="4"/>
        <v>45637</v>
      </c>
      <c r="M30" s="23">
        <f t="shared" ca="1" si="5"/>
        <v>45697</v>
      </c>
      <c r="N30" s="28">
        <f t="shared" ca="1" si="6"/>
        <v>82532</v>
      </c>
    </row>
    <row r="31" spans="1:14" x14ac:dyDescent="0.3">
      <c r="A31" s="4">
        <v>29</v>
      </c>
      <c r="B31" s="3" t="str">
        <f ca="1">INDEX(Данные!$A$1:$A$10, RANDBETWEEN(1,10))</f>
        <v>Maybelline</v>
      </c>
      <c r="C31" s="19" t="str">
        <f ca="1">INDEX(Данные!$B$1:$B$10, RANDBETWEEN(1,10))</f>
        <v>помада</v>
      </c>
      <c r="D31" s="18">
        <f ca="1">INDEX(Данные!$C$1:$C$6, RANDBETWEEN(1,6))</f>
        <v>100</v>
      </c>
      <c r="E31" s="2">
        <f t="shared" ca="1" si="0"/>
        <v>2954</v>
      </c>
      <c r="F31" s="8">
        <f t="shared" ca="1" si="1"/>
        <v>45575</v>
      </c>
      <c r="G31" s="7">
        <f t="shared" ca="1" si="2"/>
        <v>46670</v>
      </c>
      <c r="H31" s="2">
        <f t="shared" ca="1" si="7"/>
        <v>276</v>
      </c>
      <c r="I31" s="2">
        <f t="shared" ca="1" si="3"/>
        <v>68</v>
      </c>
      <c r="J31" s="2">
        <f t="shared" ca="1" si="8"/>
        <v>208</v>
      </c>
      <c r="K31" s="2" t="str">
        <f ca="1">INDEX(Данные!$D$1:$D$5, RANDBETWEEN(1,5))</f>
        <v>органик лайн</v>
      </c>
      <c r="L31" s="7">
        <f t="shared" ca="1" si="4"/>
        <v>45684</v>
      </c>
      <c r="M31" s="23">
        <f t="shared" ca="1" si="5"/>
        <v>45700</v>
      </c>
      <c r="N31" s="28">
        <f t="shared" ca="1" si="6"/>
        <v>200872</v>
      </c>
    </row>
    <row r="32" spans="1:14" x14ac:dyDescent="0.3">
      <c r="A32" s="4">
        <v>30</v>
      </c>
      <c r="B32" s="3" t="str">
        <f ca="1">INDEX(Данные!$A$1:$A$10, RANDBETWEEN(1,10))</f>
        <v>Clinique</v>
      </c>
      <c r="C32" s="19" t="str">
        <f ca="1">INDEX(Данные!$B$1:$B$10, RANDBETWEEN(1,10))</f>
        <v>тушь</v>
      </c>
      <c r="D32" s="18">
        <f ca="1">INDEX(Данные!$C$1:$C$6, RANDBETWEEN(1,6))</f>
        <v>15</v>
      </c>
      <c r="E32" s="2">
        <f t="shared" ca="1" si="0"/>
        <v>1561</v>
      </c>
      <c r="F32" s="8">
        <f t="shared" ca="1" si="1"/>
        <v>45410</v>
      </c>
      <c r="G32" s="7">
        <f t="shared" ca="1" si="2"/>
        <v>46505</v>
      </c>
      <c r="H32" s="2">
        <f t="shared" ca="1" si="7"/>
        <v>292</v>
      </c>
      <c r="I32" s="2">
        <f t="shared" ca="1" si="3"/>
        <v>284</v>
      </c>
      <c r="J32" s="2">
        <f t="shared" ca="1" si="8"/>
        <v>8</v>
      </c>
      <c r="K32" s="2" t="str">
        <f ca="1">INDEX(Данные!$D$1:$D$5, RANDBETWEEN(1,5))</f>
        <v>Соландра косметикс</v>
      </c>
      <c r="L32" s="7">
        <f t="shared" ca="1" si="4"/>
        <v>45648</v>
      </c>
      <c r="M32" s="23">
        <f t="shared" ca="1" si="5"/>
        <v>45648</v>
      </c>
      <c r="N32" s="28">
        <f t="shared" ca="1" si="6"/>
        <v>443324</v>
      </c>
    </row>
    <row r="33" spans="1:14" x14ac:dyDescent="0.3">
      <c r="A33" s="4">
        <v>31</v>
      </c>
      <c r="B33" s="3" t="str">
        <f ca="1">INDEX(Данные!$A$1:$A$10, RANDBETWEEN(1,10))</f>
        <v>Vichy</v>
      </c>
      <c r="C33" s="19" t="str">
        <f ca="1">INDEX(Данные!$B$1:$B$10, RANDBETWEEN(1,10))</f>
        <v>скульптор</v>
      </c>
      <c r="D33" s="18">
        <f ca="1">INDEX(Данные!$C$1:$C$6, RANDBETWEEN(1,6))</f>
        <v>10</v>
      </c>
      <c r="E33" s="2">
        <f t="shared" ca="1" si="0"/>
        <v>4077</v>
      </c>
      <c r="F33" s="8">
        <f t="shared" ca="1" si="1"/>
        <v>45501</v>
      </c>
      <c r="G33" s="7">
        <f t="shared" ca="1" si="2"/>
        <v>46596</v>
      </c>
      <c r="H33" s="2">
        <f t="shared" ca="1" si="7"/>
        <v>279</v>
      </c>
      <c r="I33" s="2">
        <f t="shared" ca="1" si="3"/>
        <v>73</v>
      </c>
      <c r="J33" s="2">
        <f t="shared" ca="1" si="8"/>
        <v>206</v>
      </c>
      <c r="K33" s="2" t="str">
        <f ca="1">INDEX(Данные!$D$1:$D$5, RANDBETWEEN(1,5))</f>
        <v>ИП Иванова</v>
      </c>
      <c r="L33" s="7">
        <f t="shared" ca="1" si="4"/>
        <v>45539</v>
      </c>
      <c r="M33" s="23">
        <f t="shared" ca="1" si="5"/>
        <v>45549</v>
      </c>
      <c r="N33" s="28">
        <f t="shared" ca="1" si="6"/>
        <v>297621</v>
      </c>
    </row>
    <row r="34" spans="1:14" x14ac:dyDescent="0.3">
      <c r="A34" s="4">
        <v>32</v>
      </c>
      <c r="B34" s="3" t="str">
        <f ca="1">INDEX(Данные!$A$1:$A$10, RANDBETWEEN(1,10))</f>
        <v>Essence</v>
      </c>
      <c r="C34" s="19" t="str">
        <f ca="1">INDEX(Данные!$B$1:$B$10, RANDBETWEEN(1,10))</f>
        <v>консилер</v>
      </c>
      <c r="D34" s="18">
        <f ca="1">INDEX(Данные!$C$1:$C$6, RANDBETWEEN(1,6))</f>
        <v>15</v>
      </c>
      <c r="E34" s="2">
        <f t="shared" ca="1" si="0"/>
        <v>3728</v>
      </c>
      <c r="F34" s="8">
        <f t="shared" ca="1" si="1"/>
        <v>45665</v>
      </c>
      <c r="G34" s="7">
        <f t="shared" ca="1" si="2"/>
        <v>46760</v>
      </c>
      <c r="H34" s="2">
        <f t="shared" ca="1" si="7"/>
        <v>283</v>
      </c>
      <c r="I34" s="2">
        <f t="shared" ca="1" si="3"/>
        <v>244</v>
      </c>
      <c r="J34" s="2">
        <f t="shared" ca="1" si="8"/>
        <v>39</v>
      </c>
      <c r="K34" s="2" t="str">
        <f ca="1">INDEX(Данные!$D$1:$D$5, RANDBETWEEN(1,5))</f>
        <v>органик лайн</v>
      </c>
      <c r="L34" s="7">
        <f t="shared" ca="1" si="4"/>
        <v>45705</v>
      </c>
      <c r="M34" s="23">
        <f t="shared" ca="1" si="5"/>
        <v>45705</v>
      </c>
      <c r="N34" s="28">
        <f t="shared" ca="1" si="6"/>
        <v>909632</v>
      </c>
    </row>
    <row r="35" spans="1:14" x14ac:dyDescent="0.3">
      <c r="A35" s="4">
        <v>33</v>
      </c>
      <c r="B35" s="3" t="str">
        <f ca="1">INDEX(Данные!$A$1:$A$10, RANDBETWEEN(1,10))</f>
        <v>Kiko</v>
      </c>
      <c r="C35" s="19" t="str">
        <f ca="1">INDEX(Данные!$B$1:$B$10, RANDBETWEEN(1,10))</f>
        <v>румяна</v>
      </c>
      <c r="D35" s="18">
        <f ca="1">INDEX(Данные!$C$1:$C$6, RANDBETWEEN(1,6))</f>
        <v>50</v>
      </c>
      <c r="E35" s="2">
        <f t="shared" ca="1" si="0"/>
        <v>3984</v>
      </c>
      <c r="F35" s="8">
        <f t="shared" ca="1" si="1"/>
        <v>45339</v>
      </c>
      <c r="G35" s="7">
        <f t="shared" ca="1" si="2"/>
        <v>46434</v>
      </c>
      <c r="H35" s="2">
        <f t="shared" ca="1" si="7"/>
        <v>137</v>
      </c>
      <c r="I35" s="2">
        <f t="shared" ca="1" si="3"/>
        <v>127</v>
      </c>
      <c r="J35" s="2">
        <f t="shared" ca="1" si="8"/>
        <v>10</v>
      </c>
      <c r="K35" s="2" t="str">
        <f ca="1">INDEX(Данные!$D$1:$D$5, RANDBETWEEN(1,5))</f>
        <v>Соландра косметикс</v>
      </c>
      <c r="L35" s="7">
        <f t="shared" ca="1" si="4"/>
        <v>45495</v>
      </c>
      <c r="M35" s="23">
        <f t="shared" ca="1" si="5"/>
        <v>45513</v>
      </c>
      <c r="N35" s="28">
        <f t="shared" ca="1" si="6"/>
        <v>505968</v>
      </c>
    </row>
    <row r="36" spans="1:14" ht="15" thickBot="1" x14ac:dyDescent="0.35">
      <c r="A36" s="5">
        <v>34</v>
      </c>
      <c r="B36" s="20" t="str">
        <f ca="1">INDEX(Данные!$A$1:$A$10, RANDBETWEEN(1,10))</f>
        <v>Kiko</v>
      </c>
      <c r="C36" s="21" t="str">
        <f ca="1">INDEX(Данные!$B$1:$B$10, RANDBETWEEN(1,10))</f>
        <v>праймер</v>
      </c>
      <c r="D36" s="22">
        <f ca="1">INDEX(Данные!$C$1:$C$6, RANDBETWEEN(1,6))</f>
        <v>50</v>
      </c>
      <c r="E36" s="6">
        <f t="shared" ca="1" si="0"/>
        <v>1022</v>
      </c>
      <c r="F36" s="14">
        <f t="shared" ca="1" si="1"/>
        <v>45684</v>
      </c>
      <c r="G36" s="15">
        <f t="shared" ca="1" si="2"/>
        <v>46779</v>
      </c>
      <c r="H36" s="6">
        <f t="shared" ca="1" si="7"/>
        <v>213</v>
      </c>
      <c r="I36" s="6">
        <f t="shared" ca="1" si="3"/>
        <v>204</v>
      </c>
      <c r="J36" s="6">
        <f t="shared" ca="1" si="8"/>
        <v>9</v>
      </c>
      <c r="K36" s="21" t="str">
        <f ca="1">INDEX(Данные!$D$1:$D$5, RANDBETWEEN(1,5))</f>
        <v>Соландра косметикс</v>
      </c>
      <c r="L36" s="15">
        <f t="shared" ca="1" si="4"/>
        <v>45685</v>
      </c>
      <c r="M36" s="24">
        <f t="shared" ca="1" si="5"/>
        <v>45685</v>
      </c>
      <c r="N36" s="29">
        <f t="shared" ca="1" si="6"/>
        <v>208488</v>
      </c>
    </row>
  </sheetData>
  <mergeCells count="14">
    <mergeCell ref="A1:A2"/>
    <mergeCell ref="B1:B2"/>
    <mergeCell ref="E1:E2"/>
    <mergeCell ref="F1:F2"/>
    <mergeCell ref="G1:G2"/>
    <mergeCell ref="N1:N2"/>
    <mergeCell ref="L1:L2"/>
    <mergeCell ref="M1:M2"/>
    <mergeCell ref="C1:C2"/>
    <mergeCell ref="D1:D2"/>
    <mergeCell ref="J1:J2"/>
    <mergeCell ref="K1:K2"/>
    <mergeCell ref="I1:I2"/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4CE9-9EC4-47C4-A04A-E872928A5140}">
  <dimension ref="A1:N36"/>
  <sheetViews>
    <sheetView zoomScale="72" workbookViewId="0">
      <selection activeCell="L1" sqref="L1:L2"/>
    </sheetView>
  </sheetViews>
  <sheetFormatPr defaultRowHeight="14.4" x14ac:dyDescent="0.3"/>
  <cols>
    <col min="1" max="1" width="8.6640625" style="1" customWidth="1"/>
    <col min="2" max="8" width="12.6640625" customWidth="1"/>
    <col min="11" max="11" width="17.33203125" customWidth="1"/>
    <col min="12" max="12" width="19.33203125" customWidth="1"/>
    <col min="13" max="13" width="14.5546875" customWidth="1"/>
  </cols>
  <sheetData>
    <row r="1" spans="1:14" ht="15" customHeight="1" x14ac:dyDescent="0.3">
      <c r="A1" s="32" t="s">
        <v>8</v>
      </c>
      <c r="B1" s="34" t="s">
        <v>4</v>
      </c>
      <c r="C1" s="34" t="s">
        <v>5</v>
      </c>
      <c r="D1" s="34" t="s">
        <v>6</v>
      </c>
      <c r="E1" s="34" t="s">
        <v>0</v>
      </c>
      <c r="F1" s="40" t="s">
        <v>34</v>
      </c>
      <c r="G1" s="38" t="s">
        <v>7</v>
      </c>
      <c r="H1" s="42" t="s">
        <v>35</v>
      </c>
      <c r="I1" s="42" t="s">
        <v>36</v>
      </c>
      <c r="J1" s="42" t="s">
        <v>37</v>
      </c>
      <c r="K1" s="34" t="s">
        <v>1</v>
      </c>
      <c r="L1" s="34" t="s">
        <v>2</v>
      </c>
      <c r="M1" s="36" t="s">
        <v>3</v>
      </c>
      <c r="N1" s="30" t="s">
        <v>38</v>
      </c>
    </row>
    <row r="2" spans="1:14" ht="15" thickBot="1" x14ac:dyDescent="0.35">
      <c r="A2" s="33"/>
      <c r="B2" s="35"/>
      <c r="C2" s="35"/>
      <c r="D2" s="35"/>
      <c r="E2" s="35"/>
      <c r="F2" s="41"/>
      <c r="G2" s="39"/>
      <c r="H2" s="43"/>
      <c r="I2" s="43"/>
      <c r="J2" s="43"/>
      <c r="K2" s="35"/>
      <c r="L2" s="35"/>
      <c r="M2" s="37"/>
      <c r="N2" s="31"/>
    </row>
    <row r="3" spans="1:14" x14ac:dyDescent="0.3">
      <c r="A3" s="9">
        <v>1</v>
      </c>
      <c r="B3" s="11" t="str">
        <f ca="1">INDEX(Данные!$A$1:$A$10, RANDBETWEEN(1,10))</f>
        <v>Gosh</v>
      </c>
      <c r="C3" s="10" t="str">
        <f ca="1">INDEX(Данные!$B$1:$B$10, RANDBETWEEN(1,10))</f>
        <v>консилер</v>
      </c>
      <c r="D3" s="25">
        <f ca="1">INDEX(Данные!$C$1:$C$6, RANDBETWEEN(1,6))</f>
        <v>10</v>
      </c>
      <c r="E3" s="10">
        <f ca="1">RANDBETWEEN(600,5000)</f>
        <v>699</v>
      </c>
      <c r="F3" s="12">
        <f ca="1">RANDBETWEEN(DATE(2024,2,15),DATE(2025,2,15))</f>
        <v>45464</v>
      </c>
      <c r="G3" s="13">
        <f ca="1">F3+365*3</f>
        <v>46559</v>
      </c>
      <c r="H3" s="10">
        <f ca="1">RANDBETWEEN(50,500)</f>
        <v>238</v>
      </c>
      <c r="I3" s="10">
        <f ca="1">H3-J3</f>
        <v>217</v>
      </c>
      <c r="J3" s="10">
        <f ca="1">RANDBETWEEN(0,H3)</f>
        <v>21</v>
      </c>
      <c r="K3" s="10" t="str">
        <f ca="1">INDEX(Данные!$D$1:$D$5, RANDBETWEEN(1,5))</f>
        <v>Пантикка</v>
      </c>
      <c r="L3" s="13">
        <f ca="1">RANDBETWEEN(F3,DATE(2025,2,19))</f>
        <v>45622</v>
      </c>
      <c r="M3" s="26">
        <f ca="1">RANDBETWEEN(L3,DATE(2025,2,19))</f>
        <v>45678</v>
      </c>
      <c r="N3" s="27">
        <f ca="1">E3*I3</f>
        <v>151683</v>
      </c>
    </row>
    <row r="4" spans="1:14" x14ac:dyDescent="0.3">
      <c r="A4" s="4">
        <v>2</v>
      </c>
      <c r="B4" s="3" t="str">
        <f ca="1">INDEX(Данные!$A$1:$A$10, RANDBETWEEN(1,10))</f>
        <v>NYX</v>
      </c>
      <c r="C4" s="19" t="str">
        <f ca="1">INDEX(Данные!$B$1:$B$10, RANDBETWEEN(1,10))</f>
        <v>праймер</v>
      </c>
      <c r="D4" s="18">
        <f ca="1">INDEX(Данные!$C$1:$C$6, RANDBETWEEN(1,6))</f>
        <v>50</v>
      </c>
      <c r="E4" s="2">
        <f t="shared" ref="E4:E36" ca="1" si="0">RANDBETWEEN(600,5000)</f>
        <v>3672</v>
      </c>
      <c r="F4" s="8">
        <f t="shared" ref="F4:F36" ca="1" si="1">RANDBETWEEN(DATE(2024,2,15),DATE(2025,2,15))</f>
        <v>45599</v>
      </c>
      <c r="G4" s="7">
        <f t="shared" ref="G4:G36" ca="1" si="2">F4+365*3</f>
        <v>46694</v>
      </c>
      <c r="H4" s="2">
        <f ca="1">RANDBETWEEN(50,300)</f>
        <v>287</v>
      </c>
      <c r="I4" s="2">
        <f t="shared" ref="I4:I36" ca="1" si="3">H4-J4</f>
        <v>9</v>
      </c>
      <c r="J4" s="2">
        <f ca="1">RANDBETWEEN(0,H4)</f>
        <v>278</v>
      </c>
      <c r="K4" s="2" t="str">
        <f ca="1">INDEX(Данные!$D$1:$D$5, RANDBETWEEN(1,5))</f>
        <v>Соландра косметикс</v>
      </c>
      <c r="L4" s="7">
        <f t="shared" ref="L4:L36" ca="1" si="4">RANDBETWEEN(F4,DATE(2025,2,19))</f>
        <v>45632</v>
      </c>
      <c r="M4" s="23">
        <f t="shared" ref="M4:M36" ca="1" si="5">RANDBETWEEN(L4,DATE(2025,2,19))</f>
        <v>45636</v>
      </c>
      <c r="N4" s="28">
        <f t="shared" ref="N4:N36" ca="1" si="6">E4*I4</f>
        <v>33048</v>
      </c>
    </row>
    <row r="5" spans="1:14" x14ac:dyDescent="0.3">
      <c r="A5" s="4">
        <v>3</v>
      </c>
      <c r="B5" s="3" t="str">
        <f ca="1">INDEX(Данные!$A$1:$A$10, RANDBETWEEN(1,10))</f>
        <v>CeraVe</v>
      </c>
      <c r="C5" s="19" t="str">
        <f ca="1">INDEX(Данные!$B$1:$B$10, RANDBETWEEN(1,10))</f>
        <v>праймер</v>
      </c>
      <c r="D5" s="18">
        <f ca="1">INDEX(Данные!$C$1:$C$6, RANDBETWEEN(1,6))</f>
        <v>15</v>
      </c>
      <c r="E5" s="2">
        <f t="shared" ca="1" si="0"/>
        <v>2532</v>
      </c>
      <c r="F5" s="8">
        <f t="shared" ca="1" si="1"/>
        <v>45399</v>
      </c>
      <c r="G5" s="7">
        <f t="shared" ca="1" si="2"/>
        <v>46494</v>
      </c>
      <c r="H5" s="2">
        <f t="shared" ref="H5:H36" ca="1" si="7">RANDBETWEEN(50,300)</f>
        <v>266</v>
      </c>
      <c r="I5" s="2">
        <f t="shared" ca="1" si="3"/>
        <v>132</v>
      </c>
      <c r="J5" s="2">
        <f ca="1">RANDBETWEEN(0,H5)</f>
        <v>134</v>
      </c>
      <c r="K5" s="2" t="str">
        <f ca="1">INDEX(Данные!$D$1:$D$5, RANDBETWEEN(1,5))</f>
        <v>ИП Иванова</v>
      </c>
      <c r="L5" s="7">
        <f t="shared" ca="1" si="4"/>
        <v>45534</v>
      </c>
      <c r="M5" s="23">
        <f t="shared" ca="1" si="5"/>
        <v>45550</v>
      </c>
      <c r="N5" s="28">
        <f t="shared" ca="1" si="6"/>
        <v>334224</v>
      </c>
    </row>
    <row r="6" spans="1:14" x14ac:dyDescent="0.3">
      <c r="A6" s="4">
        <v>4</v>
      </c>
      <c r="B6" s="3" t="str">
        <f ca="1">INDEX(Данные!$A$1:$A$10, RANDBETWEEN(1,10))</f>
        <v>Vichy</v>
      </c>
      <c r="C6" s="19" t="str">
        <f ca="1">INDEX(Данные!$B$1:$B$10, RANDBETWEEN(1,10))</f>
        <v>скульптор</v>
      </c>
      <c r="D6" s="18">
        <f ca="1">INDEX(Данные!$C$1:$C$6, RANDBETWEEN(1,6))</f>
        <v>20</v>
      </c>
      <c r="E6" s="2">
        <f t="shared" ca="1" si="0"/>
        <v>2450</v>
      </c>
      <c r="F6" s="8">
        <f t="shared" ca="1" si="1"/>
        <v>45354</v>
      </c>
      <c r="G6" s="7">
        <f t="shared" ca="1" si="2"/>
        <v>46449</v>
      </c>
      <c r="H6" s="2">
        <f t="shared" ca="1" si="7"/>
        <v>53</v>
      </c>
      <c r="I6" s="2">
        <f t="shared" ca="1" si="3"/>
        <v>22</v>
      </c>
      <c r="J6" s="2">
        <f t="shared" ref="J6:J36" ca="1" si="8">RANDBETWEEN(0,H6)</f>
        <v>31</v>
      </c>
      <c r="K6" s="2" t="str">
        <f ca="1">INDEX(Данные!$D$1:$D$5, RANDBETWEEN(1,5))</f>
        <v>мир красоты</v>
      </c>
      <c r="L6" s="7">
        <f t="shared" ca="1" si="4"/>
        <v>45624</v>
      </c>
      <c r="M6" s="23">
        <f t="shared" ca="1" si="5"/>
        <v>45628</v>
      </c>
      <c r="N6" s="28">
        <f t="shared" ca="1" si="6"/>
        <v>53900</v>
      </c>
    </row>
    <row r="7" spans="1:14" x14ac:dyDescent="0.3">
      <c r="A7" s="4">
        <v>5</v>
      </c>
      <c r="B7" s="3" t="str">
        <f ca="1">INDEX(Данные!$A$1:$A$10, RANDBETWEEN(1,10))</f>
        <v>Gosh</v>
      </c>
      <c r="C7" s="19" t="str">
        <f ca="1">INDEX(Данные!$B$1:$B$10, RANDBETWEEN(1,10))</f>
        <v>румяна</v>
      </c>
      <c r="D7" s="18">
        <f ca="1">INDEX(Данные!$C$1:$C$6, RANDBETWEEN(1,6))</f>
        <v>20</v>
      </c>
      <c r="E7" s="2">
        <f t="shared" ca="1" si="0"/>
        <v>1184</v>
      </c>
      <c r="F7" s="8">
        <f t="shared" ca="1" si="1"/>
        <v>45565</v>
      </c>
      <c r="G7" s="7">
        <f t="shared" ca="1" si="2"/>
        <v>46660</v>
      </c>
      <c r="H7" s="2">
        <f t="shared" ca="1" si="7"/>
        <v>124</v>
      </c>
      <c r="I7" s="2">
        <f t="shared" ca="1" si="3"/>
        <v>55</v>
      </c>
      <c r="J7" s="2">
        <f t="shared" ca="1" si="8"/>
        <v>69</v>
      </c>
      <c r="K7" s="2" t="str">
        <f ca="1">INDEX(Данные!$D$1:$D$5, RANDBETWEEN(1,5))</f>
        <v>мир красоты</v>
      </c>
      <c r="L7" s="7">
        <f t="shared" ca="1" si="4"/>
        <v>45692</v>
      </c>
      <c r="M7" s="23">
        <f t="shared" ca="1" si="5"/>
        <v>45701</v>
      </c>
      <c r="N7" s="28">
        <f t="shared" ca="1" si="6"/>
        <v>65120</v>
      </c>
    </row>
    <row r="8" spans="1:14" ht="15" customHeight="1" x14ac:dyDescent="0.3">
      <c r="A8" s="4">
        <v>6</v>
      </c>
      <c r="B8" s="3" t="str">
        <f ca="1">INDEX(Данные!$A$1:$A$10, RANDBETWEEN(1,10))</f>
        <v>CeraVe</v>
      </c>
      <c r="C8" s="19" t="str">
        <f ca="1">INDEX(Данные!$B$1:$B$10, RANDBETWEEN(1,10))</f>
        <v>пенка для умывания</v>
      </c>
      <c r="D8" s="18">
        <f ca="1">INDEX(Данные!$C$1:$C$6, RANDBETWEEN(1,6))</f>
        <v>20</v>
      </c>
      <c r="E8" s="2">
        <f t="shared" ca="1" si="0"/>
        <v>2620</v>
      </c>
      <c r="F8" s="8">
        <f t="shared" ca="1" si="1"/>
        <v>45553</v>
      </c>
      <c r="G8" s="7">
        <f t="shared" ca="1" si="2"/>
        <v>46648</v>
      </c>
      <c r="H8" s="2">
        <f t="shared" ca="1" si="7"/>
        <v>230</v>
      </c>
      <c r="I8" s="2">
        <f t="shared" ca="1" si="3"/>
        <v>31</v>
      </c>
      <c r="J8" s="2">
        <f t="shared" ca="1" si="8"/>
        <v>199</v>
      </c>
      <c r="K8" s="2" t="str">
        <f ca="1">INDEX(Данные!$D$1:$D$5, RANDBETWEEN(1,5))</f>
        <v>органик лайн</v>
      </c>
      <c r="L8" s="7">
        <f t="shared" ca="1" si="4"/>
        <v>45584</v>
      </c>
      <c r="M8" s="23">
        <f t="shared" ca="1" si="5"/>
        <v>45635</v>
      </c>
      <c r="N8" s="28">
        <f t="shared" ca="1" si="6"/>
        <v>81220</v>
      </c>
    </row>
    <row r="9" spans="1:14" x14ac:dyDescent="0.3">
      <c r="A9" s="4">
        <v>7</v>
      </c>
      <c r="B9" s="3" t="str">
        <f ca="1">INDEX(Данные!$A$1:$A$10, RANDBETWEEN(1,10))</f>
        <v>Clinique</v>
      </c>
      <c r="C9" s="19" t="str">
        <f ca="1">INDEX(Данные!$B$1:$B$10, RANDBETWEEN(1,10))</f>
        <v>помада</v>
      </c>
      <c r="D9" s="18">
        <f ca="1">INDEX(Данные!$C$1:$C$6, RANDBETWEEN(1,6))</f>
        <v>50</v>
      </c>
      <c r="E9" s="2">
        <f t="shared" ca="1" si="0"/>
        <v>3908</v>
      </c>
      <c r="F9" s="8">
        <f t="shared" ca="1" si="1"/>
        <v>45456</v>
      </c>
      <c r="G9" s="7">
        <f t="shared" ca="1" si="2"/>
        <v>46551</v>
      </c>
      <c r="H9" s="2">
        <f t="shared" ca="1" si="7"/>
        <v>99</v>
      </c>
      <c r="I9" s="2">
        <f t="shared" ca="1" si="3"/>
        <v>72</v>
      </c>
      <c r="J9" s="2">
        <f t="shared" ca="1" si="8"/>
        <v>27</v>
      </c>
      <c r="K9" s="2" t="str">
        <f ca="1">INDEX(Данные!$D$1:$D$5, RANDBETWEEN(1,5))</f>
        <v>Соландра косметикс</v>
      </c>
      <c r="L9" s="7">
        <f t="shared" ca="1" si="4"/>
        <v>45620</v>
      </c>
      <c r="M9" s="23">
        <f t="shared" ca="1" si="5"/>
        <v>45694</v>
      </c>
      <c r="N9" s="28">
        <f t="shared" ca="1" si="6"/>
        <v>281376</v>
      </c>
    </row>
    <row r="10" spans="1:14" x14ac:dyDescent="0.3">
      <c r="A10" s="4">
        <v>8</v>
      </c>
      <c r="B10" s="3" t="str">
        <f ca="1">INDEX(Данные!$A$1:$A$10, RANDBETWEEN(1,10))</f>
        <v>Kiko</v>
      </c>
      <c r="C10" s="19" t="str">
        <f ca="1">INDEX(Данные!$B$1:$B$10, RANDBETWEEN(1,10))</f>
        <v>пенка для умывания</v>
      </c>
      <c r="D10" s="18">
        <f ca="1">INDEX(Данные!$C$1:$C$6, RANDBETWEEN(1,6))</f>
        <v>15</v>
      </c>
      <c r="E10" s="2">
        <f t="shared" ca="1" si="0"/>
        <v>1227</v>
      </c>
      <c r="F10" s="8">
        <f t="shared" ca="1" si="1"/>
        <v>45638</v>
      </c>
      <c r="G10" s="7">
        <f t="shared" ca="1" si="2"/>
        <v>46733</v>
      </c>
      <c r="H10" s="2">
        <f t="shared" ca="1" si="7"/>
        <v>233</v>
      </c>
      <c r="I10" s="2">
        <f t="shared" ca="1" si="3"/>
        <v>157</v>
      </c>
      <c r="J10" s="2">
        <f t="shared" ca="1" si="8"/>
        <v>76</v>
      </c>
      <c r="K10" s="2" t="str">
        <f ca="1">INDEX(Данные!$D$1:$D$5, RANDBETWEEN(1,5))</f>
        <v>мир красоты</v>
      </c>
      <c r="L10" s="7">
        <f t="shared" ca="1" si="4"/>
        <v>45673</v>
      </c>
      <c r="M10" s="23">
        <f t="shared" ca="1" si="5"/>
        <v>45707</v>
      </c>
      <c r="N10" s="28">
        <f t="shared" ca="1" si="6"/>
        <v>192639</v>
      </c>
    </row>
    <row r="11" spans="1:14" x14ac:dyDescent="0.3">
      <c r="A11" s="4">
        <v>9</v>
      </c>
      <c r="B11" s="3" t="str">
        <f ca="1">INDEX(Данные!$A$1:$A$10, RANDBETWEEN(1,10))</f>
        <v>Maybelline</v>
      </c>
      <c r="C11" s="19" t="str">
        <f ca="1">INDEX(Данные!$B$1:$B$10, RANDBETWEEN(1,10))</f>
        <v>тушь</v>
      </c>
      <c r="D11" s="18">
        <f ca="1">INDEX(Данные!$C$1:$C$6, RANDBETWEEN(1,6))</f>
        <v>30</v>
      </c>
      <c r="E11" s="2">
        <f t="shared" ca="1" si="0"/>
        <v>4757</v>
      </c>
      <c r="F11" s="8">
        <f t="shared" ca="1" si="1"/>
        <v>45587</v>
      </c>
      <c r="G11" s="7">
        <f t="shared" ca="1" si="2"/>
        <v>46682</v>
      </c>
      <c r="H11" s="2">
        <f t="shared" ca="1" si="7"/>
        <v>185</v>
      </c>
      <c r="I11" s="2">
        <f t="shared" ca="1" si="3"/>
        <v>49</v>
      </c>
      <c r="J11" s="2">
        <f t="shared" ca="1" si="8"/>
        <v>136</v>
      </c>
      <c r="K11" s="2" t="str">
        <f ca="1">INDEX(Данные!$D$1:$D$5, RANDBETWEEN(1,5))</f>
        <v>Соландра косметикс</v>
      </c>
      <c r="L11" s="7">
        <f t="shared" ca="1" si="4"/>
        <v>45587</v>
      </c>
      <c r="M11" s="23">
        <f t="shared" ca="1" si="5"/>
        <v>45652</v>
      </c>
      <c r="N11" s="28">
        <f t="shared" ca="1" si="6"/>
        <v>233093</v>
      </c>
    </row>
    <row r="12" spans="1:14" x14ac:dyDescent="0.3">
      <c r="A12" s="4">
        <v>10</v>
      </c>
      <c r="B12" s="3" t="str">
        <f ca="1">INDEX(Данные!$A$1:$A$10, RANDBETWEEN(1,10))</f>
        <v>Clinique</v>
      </c>
      <c r="C12" s="19" t="str">
        <f ca="1">INDEX(Данные!$B$1:$B$10, RANDBETWEEN(1,10))</f>
        <v>праймер</v>
      </c>
      <c r="D12" s="18">
        <f ca="1">INDEX(Данные!$C$1:$C$6, RANDBETWEEN(1,6))</f>
        <v>30</v>
      </c>
      <c r="E12" s="2">
        <f t="shared" ca="1" si="0"/>
        <v>4463</v>
      </c>
      <c r="F12" s="8">
        <f t="shared" ca="1" si="1"/>
        <v>45417</v>
      </c>
      <c r="G12" s="7">
        <f t="shared" ca="1" si="2"/>
        <v>46512</v>
      </c>
      <c r="H12" s="2">
        <f t="shared" ca="1" si="7"/>
        <v>153</v>
      </c>
      <c r="I12" s="2">
        <f t="shared" ca="1" si="3"/>
        <v>127</v>
      </c>
      <c r="J12" s="2">
        <f t="shared" ca="1" si="8"/>
        <v>26</v>
      </c>
      <c r="K12" s="2" t="str">
        <f ca="1">INDEX(Данные!$D$1:$D$5, RANDBETWEEN(1,5))</f>
        <v>органик лайн</v>
      </c>
      <c r="L12" s="7">
        <f t="shared" ca="1" si="4"/>
        <v>45613</v>
      </c>
      <c r="M12" s="23">
        <f t="shared" ca="1" si="5"/>
        <v>45667</v>
      </c>
      <c r="N12" s="28">
        <f t="shared" ca="1" si="6"/>
        <v>566801</v>
      </c>
    </row>
    <row r="13" spans="1:14" x14ac:dyDescent="0.3">
      <c r="A13" s="4">
        <v>11</v>
      </c>
      <c r="B13" s="3" t="str">
        <f ca="1">INDEX(Данные!$A$1:$A$10, RANDBETWEEN(1,10))</f>
        <v>Loreal Paris</v>
      </c>
      <c r="C13" s="19" t="str">
        <f ca="1">INDEX(Данные!$B$1:$B$10, RANDBETWEEN(1,10))</f>
        <v>помада</v>
      </c>
      <c r="D13" s="18">
        <f ca="1">INDEX(Данные!$C$1:$C$6, RANDBETWEEN(1,6))</f>
        <v>30</v>
      </c>
      <c r="E13" s="2">
        <f t="shared" ca="1" si="0"/>
        <v>898</v>
      </c>
      <c r="F13" s="8">
        <f t="shared" ca="1" si="1"/>
        <v>45631</v>
      </c>
      <c r="G13" s="7">
        <f t="shared" ca="1" si="2"/>
        <v>46726</v>
      </c>
      <c r="H13" s="2">
        <f t="shared" ca="1" si="7"/>
        <v>171</v>
      </c>
      <c r="I13" s="2">
        <f t="shared" ca="1" si="3"/>
        <v>154</v>
      </c>
      <c r="J13" s="2">
        <f t="shared" ca="1" si="8"/>
        <v>17</v>
      </c>
      <c r="K13" s="2" t="str">
        <f ca="1">INDEX(Данные!$D$1:$D$5, RANDBETWEEN(1,5))</f>
        <v>Соландра косметикс</v>
      </c>
      <c r="L13" s="7">
        <f t="shared" ca="1" si="4"/>
        <v>45685</v>
      </c>
      <c r="M13" s="23">
        <f t="shared" ca="1" si="5"/>
        <v>45706</v>
      </c>
      <c r="N13" s="28">
        <f t="shared" ca="1" si="6"/>
        <v>138292</v>
      </c>
    </row>
    <row r="14" spans="1:14" x14ac:dyDescent="0.3">
      <c r="A14" s="4">
        <v>12</v>
      </c>
      <c r="B14" s="3" t="str">
        <f ca="1">INDEX(Данные!$A$1:$A$10, RANDBETWEEN(1,10))</f>
        <v>Maybelline</v>
      </c>
      <c r="C14" s="19" t="str">
        <f ca="1">INDEX(Данные!$B$1:$B$10, RANDBETWEEN(1,10))</f>
        <v>консилер</v>
      </c>
      <c r="D14" s="18">
        <f ca="1">INDEX(Данные!$C$1:$C$6, RANDBETWEEN(1,6))</f>
        <v>30</v>
      </c>
      <c r="E14" s="2">
        <f t="shared" ca="1" si="0"/>
        <v>4109</v>
      </c>
      <c r="F14" s="8">
        <f t="shared" ca="1" si="1"/>
        <v>45344</v>
      </c>
      <c r="G14" s="7">
        <f t="shared" ca="1" si="2"/>
        <v>46439</v>
      </c>
      <c r="H14" s="2">
        <f t="shared" ca="1" si="7"/>
        <v>270</v>
      </c>
      <c r="I14" s="2">
        <f t="shared" ca="1" si="3"/>
        <v>67</v>
      </c>
      <c r="J14" s="2">
        <f t="shared" ca="1" si="8"/>
        <v>203</v>
      </c>
      <c r="K14" s="2" t="str">
        <f ca="1">INDEX(Данные!$D$1:$D$5, RANDBETWEEN(1,5))</f>
        <v>Соландра косметикс</v>
      </c>
      <c r="L14" s="7">
        <f t="shared" ca="1" si="4"/>
        <v>45370</v>
      </c>
      <c r="M14" s="23">
        <f t="shared" ca="1" si="5"/>
        <v>45431</v>
      </c>
      <c r="N14" s="28">
        <f t="shared" ca="1" si="6"/>
        <v>275303</v>
      </c>
    </row>
    <row r="15" spans="1:14" x14ac:dyDescent="0.3">
      <c r="A15" s="4">
        <v>13</v>
      </c>
      <c r="B15" s="3" t="str">
        <f ca="1">INDEX(Данные!$A$1:$A$10, RANDBETWEEN(1,10))</f>
        <v>Maybelline</v>
      </c>
      <c r="C15" s="19" t="str">
        <f ca="1">INDEX(Данные!$B$1:$B$10, RANDBETWEEN(1,10))</f>
        <v>хайлайтер</v>
      </c>
      <c r="D15" s="18">
        <f ca="1">INDEX(Данные!$C$1:$C$6, RANDBETWEEN(1,6))</f>
        <v>50</v>
      </c>
      <c r="E15" s="2">
        <f t="shared" ca="1" si="0"/>
        <v>3638</v>
      </c>
      <c r="F15" s="8">
        <f t="shared" ca="1" si="1"/>
        <v>45528</v>
      </c>
      <c r="G15" s="7">
        <f t="shared" ca="1" si="2"/>
        <v>46623</v>
      </c>
      <c r="H15" s="2">
        <f t="shared" ca="1" si="7"/>
        <v>75</v>
      </c>
      <c r="I15" s="2">
        <f t="shared" ca="1" si="3"/>
        <v>71</v>
      </c>
      <c r="J15" s="2">
        <f t="shared" ca="1" si="8"/>
        <v>4</v>
      </c>
      <c r="K15" s="2" t="str">
        <f ca="1">INDEX(Данные!$D$1:$D$5, RANDBETWEEN(1,5))</f>
        <v>ИП Иванова</v>
      </c>
      <c r="L15" s="7">
        <f t="shared" ca="1" si="4"/>
        <v>45692</v>
      </c>
      <c r="M15" s="23">
        <f t="shared" ca="1" si="5"/>
        <v>45699</v>
      </c>
      <c r="N15" s="28">
        <f t="shared" ca="1" si="6"/>
        <v>258298</v>
      </c>
    </row>
    <row r="16" spans="1:14" x14ac:dyDescent="0.3">
      <c r="A16" s="4">
        <v>14</v>
      </c>
      <c r="B16" s="3" t="str">
        <f ca="1">INDEX(Данные!$A$1:$A$10, RANDBETWEEN(1,10))</f>
        <v>NYX</v>
      </c>
      <c r="C16" s="19" t="str">
        <f ca="1">INDEX(Данные!$B$1:$B$10, RANDBETWEEN(1,10))</f>
        <v>консилер</v>
      </c>
      <c r="D16" s="18">
        <f ca="1">INDEX(Данные!$C$1:$C$6, RANDBETWEEN(1,6))</f>
        <v>10</v>
      </c>
      <c r="E16" s="2">
        <f t="shared" ca="1" si="0"/>
        <v>3376</v>
      </c>
      <c r="F16" s="8">
        <f t="shared" ca="1" si="1"/>
        <v>45584</v>
      </c>
      <c r="G16" s="7">
        <f t="shared" ca="1" si="2"/>
        <v>46679</v>
      </c>
      <c r="H16" s="2">
        <f t="shared" ca="1" si="7"/>
        <v>235</v>
      </c>
      <c r="I16" s="2">
        <f t="shared" ca="1" si="3"/>
        <v>178</v>
      </c>
      <c r="J16" s="2">
        <f t="shared" ca="1" si="8"/>
        <v>57</v>
      </c>
      <c r="K16" s="2" t="str">
        <f ca="1">INDEX(Данные!$D$1:$D$5, RANDBETWEEN(1,5))</f>
        <v>мир красоты</v>
      </c>
      <c r="L16" s="7">
        <f t="shared" ca="1" si="4"/>
        <v>45637</v>
      </c>
      <c r="M16" s="23">
        <f t="shared" ca="1" si="5"/>
        <v>45685</v>
      </c>
      <c r="N16" s="28">
        <f t="shared" ca="1" si="6"/>
        <v>600928</v>
      </c>
    </row>
    <row r="17" spans="1:14" x14ac:dyDescent="0.3">
      <c r="A17" s="4">
        <v>15</v>
      </c>
      <c r="B17" s="3" t="str">
        <f ca="1">INDEX(Данные!$A$1:$A$10, RANDBETWEEN(1,10))</f>
        <v>Gosh</v>
      </c>
      <c r="C17" s="19" t="str">
        <f ca="1">INDEX(Данные!$B$1:$B$10, RANDBETWEEN(1,10))</f>
        <v>праймер</v>
      </c>
      <c r="D17" s="18">
        <f ca="1">INDEX(Данные!$C$1:$C$6, RANDBETWEEN(1,6))</f>
        <v>30</v>
      </c>
      <c r="E17" s="2">
        <f t="shared" ca="1" si="0"/>
        <v>842</v>
      </c>
      <c r="F17" s="8">
        <f t="shared" ca="1" si="1"/>
        <v>45473</v>
      </c>
      <c r="G17" s="7">
        <f t="shared" ca="1" si="2"/>
        <v>46568</v>
      </c>
      <c r="H17" s="2">
        <f t="shared" ca="1" si="7"/>
        <v>83</v>
      </c>
      <c r="I17" s="2">
        <f t="shared" ca="1" si="3"/>
        <v>53</v>
      </c>
      <c r="J17" s="2">
        <f t="shared" ca="1" si="8"/>
        <v>30</v>
      </c>
      <c r="K17" s="2" t="str">
        <f ca="1">INDEX(Данные!$D$1:$D$5, RANDBETWEEN(1,5))</f>
        <v>Пантикка</v>
      </c>
      <c r="L17" s="7">
        <f t="shared" ca="1" si="4"/>
        <v>45515</v>
      </c>
      <c r="M17" s="23">
        <f t="shared" ca="1" si="5"/>
        <v>45629</v>
      </c>
      <c r="N17" s="28">
        <f t="shared" ca="1" si="6"/>
        <v>44626</v>
      </c>
    </row>
    <row r="18" spans="1:14" x14ac:dyDescent="0.3">
      <c r="A18" s="4">
        <v>16</v>
      </c>
      <c r="B18" s="3" t="str">
        <f ca="1">INDEX(Данные!$A$1:$A$10, RANDBETWEEN(1,10))</f>
        <v>Vichy</v>
      </c>
      <c r="C18" s="19" t="str">
        <f ca="1">INDEX(Данные!$B$1:$B$10, RANDBETWEEN(1,10))</f>
        <v>консилер</v>
      </c>
      <c r="D18" s="18">
        <f ca="1">INDEX(Данные!$C$1:$C$6, RANDBETWEEN(1,6))</f>
        <v>20</v>
      </c>
      <c r="E18" s="2">
        <f t="shared" ca="1" si="0"/>
        <v>1314</v>
      </c>
      <c r="F18" s="8">
        <f t="shared" ca="1" si="1"/>
        <v>45529</v>
      </c>
      <c r="G18" s="7">
        <f t="shared" ca="1" si="2"/>
        <v>46624</v>
      </c>
      <c r="H18" s="2">
        <f t="shared" ca="1" si="7"/>
        <v>132</v>
      </c>
      <c r="I18" s="2">
        <f t="shared" ca="1" si="3"/>
        <v>1</v>
      </c>
      <c r="J18" s="2">
        <f t="shared" ca="1" si="8"/>
        <v>131</v>
      </c>
      <c r="K18" s="2" t="str">
        <f ca="1">INDEX(Данные!$D$1:$D$5, RANDBETWEEN(1,5))</f>
        <v>ИП Иванова</v>
      </c>
      <c r="L18" s="7">
        <f t="shared" ca="1" si="4"/>
        <v>45700</v>
      </c>
      <c r="M18" s="23">
        <f t="shared" ca="1" si="5"/>
        <v>45707</v>
      </c>
      <c r="N18" s="28">
        <f t="shared" ca="1" si="6"/>
        <v>1314</v>
      </c>
    </row>
    <row r="19" spans="1:14" x14ac:dyDescent="0.3">
      <c r="A19" s="4">
        <v>17</v>
      </c>
      <c r="B19" s="3" t="str">
        <f ca="1">INDEX(Данные!$A$1:$A$10, RANDBETWEEN(1,10))</f>
        <v>Vichy</v>
      </c>
      <c r="C19" s="19" t="str">
        <f ca="1">INDEX(Данные!$B$1:$B$10, RANDBETWEEN(1,10))</f>
        <v>скульптор</v>
      </c>
      <c r="D19" s="18">
        <f ca="1">INDEX(Данные!$C$1:$C$6, RANDBETWEEN(1,6))</f>
        <v>50</v>
      </c>
      <c r="E19" s="2">
        <f t="shared" ca="1" si="0"/>
        <v>2123</v>
      </c>
      <c r="F19" s="8">
        <f t="shared" ca="1" si="1"/>
        <v>45544</v>
      </c>
      <c r="G19" s="7">
        <f t="shared" ca="1" si="2"/>
        <v>46639</v>
      </c>
      <c r="H19" s="2">
        <f t="shared" ca="1" si="7"/>
        <v>258</v>
      </c>
      <c r="I19" s="2">
        <f t="shared" ca="1" si="3"/>
        <v>159</v>
      </c>
      <c r="J19" s="2">
        <f t="shared" ca="1" si="8"/>
        <v>99</v>
      </c>
      <c r="K19" s="2" t="str">
        <f ca="1">INDEX(Данные!$D$1:$D$5, RANDBETWEEN(1,5))</f>
        <v>Пантикка</v>
      </c>
      <c r="L19" s="7">
        <f t="shared" ca="1" si="4"/>
        <v>45614</v>
      </c>
      <c r="M19" s="23">
        <f t="shared" ca="1" si="5"/>
        <v>45701</v>
      </c>
      <c r="N19" s="28">
        <f t="shared" ca="1" si="6"/>
        <v>337557</v>
      </c>
    </row>
    <row r="20" spans="1:14" x14ac:dyDescent="0.3">
      <c r="A20" s="4">
        <v>18</v>
      </c>
      <c r="B20" s="3" t="str">
        <f ca="1">INDEX(Данные!$A$1:$A$10, RANDBETWEEN(1,10))</f>
        <v>Maybelline</v>
      </c>
      <c r="C20" s="19" t="str">
        <f ca="1">INDEX(Данные!$B$1:$B$10, RANDBETWEEN(1,10))</f>
        <v>тональная основа</v>
      </c>
      <c r="D20" s="18">
        <f ca="1">INDEX(Данные!$C$1:$C$6, RANDBETWEEN(1,6))</f>
        <v>50</v>
      </c>
      <c r="E20" s="2">
        <f t="shared" ca="1" si="0"/>
        <v>2290</v>
      </c>
      <c r="F20" s="8">
        <f t="shared" ca="1" si="1"/>
        <v>45480</v>
      </c>
      <c r="G20" s="7">
        <f t="shared" ca="1" si="2"/>
        <v>46575</v>
      </c>
      <c r="H20" s="2">
        <f t="shared" ca="1" si="7"/>
        <v>106</v>
      </c>
      <c r="I20" s="2">
        <f t="shared" ca="1" si="3"/>
        <v>10</v>
      </c>
      <c r="J20" s="2">
        <f t="shared" ca="1" si="8"/>
        <v>96</v>
      </c>
      <c r="K20" s="2" t="str">
        <f ca="1">INDEX(Данные!$D$1:$D$5, RANDBETWEEN(1,5))</f>
        <v>органик лайн</v>
      </c>
      <c r="L20" s="7">
        <f t="shared" ca="1" si="4"/>
        <v>45485</v>
      </c>
      <c r="M20" s="23">
        <f t="shared" ca="1" si="5"/>
        <v>45498</v>
      </c>
      <c r="N20" s="28">
        <f t="shared" ca="1" si="6"/>
        <v>22900</v>
      </c>
    </row>
    <row r="21" spans="1:14" x14ac:dyDescent="0.3">
      <c r="A21" s="4">
        <v>19</v>
      </c>
      <c r="B21" s="3" t="str">
        <f ca="1">INDEX(Данные!$A$1:$A$10, RANDBETWEEN(1,10))</f>
        <v>CeraVe</v>
      </c>
      <c r="C21" s="19" t="str">
        <f ca="1">INDEX(Данные!$B$1:$B$10, RANDBETWEEN(1,10))</f>
        <v>тональная основа</v>
      </c>
      <c r="D21" s="18">
        <f ca="1">INDEX(Данные!$C$1:$C$6, RANDBETWEEN(1,6))</f>
        <v>20</v>
      </c>
      <c r="E21" s="2">
        <f t="shared" ca="1" si="0"/>
        <v>3625</v>
      </c>
      <c r="F21" s="8">
        <f t="shared" ca="1" si="1"/>
        <v>45350</v>
      </c>
      <c r="G21" s="7">
        <f t="shared" ca="1" si="2"/>
        <v>46445</v>
      </c>
      <c r="H21" s="2">
        <f t="shared" ca="1" si="7"/>
        <v>261</v>
      </c>
      <c r="I21" s="2">
        <f t="shared" ca="1" si="3"/>
        <v>246</v>
      </c>
      <c r="J21" s="2">
        <f t="shared" ca="1" si="8"/>
        <v>15</v>
      </c>
      <c r="K21" s="2" t="str">
        <f ca="1">INDEX(Данные!$D$1:$D$5, RANDBETWEEN(1,5))</f>
        <v>ИП Иванова</v>
      </c>
      <c r="L21" s="7">
        <f t="shared" ca="1" si="4"/>
        <v>45538</v>
      </c>
      <c r="M21" s="23">
        <f t="shared" ca="1" si="5"/>
        <v>45612</v>
      </c>
      <c r="N21" s="28">
        <f t="shared" ca="1" si="6"/>
        <v>891750</v>
      </c>
    </row>
    <row r="22" spans="1:14" x14ac:dyDescent="0.3">
      <c r="A22" s="4">
        <v>20</v>
      </c>
      <c r="B22" s="3" t="str">
        <f ca="1">INDEX(Данные!$A$1:$A$10, RANDBETWEEN(1,10))</f>
        <v>NYX</v>
      </c>
      <c r="C22" s="19" t="str">
        <f ca="1">INDEX(Данные!$B$1:$B$10, RANDBETWEEN(1,10))</f>
        <v>тушь</v>
      </c>
      <c r="D22" s="18">
        <f ca="1">INDEX(Данные!$C$1:$C$6, RANDBETWEEN(1,6))</f>
        <v>100</v>
      </c>
      <c r="E22" s="2">
        <f t="shared" ca="1" si="0"/>
        <v>1715</v>
      </c>
      <c r="F22" s="8">
        <f t="shared" ca="1" si="1"/>
        <v>45419</v>
      </c>
      <c r="G22" s="7">
        <f t="shared" ca="1" si="2"/>
        <v>46514</v>
      </c>
      <c r="H22" s="2">
        <f t="shared" ca="1" si="7"/>
        <v>258</v>
      </c>
      <c r="I22" s="2">
        <f t="shared" ca="1" si="3"/>
        <v>73</v>
      </c>
      <c r="J22" s="2">
        <f t="shared" ca="1" si="8"/>
        <v>185</v>
      </c>
      <c r="K22" s="2" t="str">
        <f ca="1">INDEX(Данные!$D$1:$D$5, RANDBETWEEN(1,5))</f>
        <v>ИП Иванова</v>
      </c>
      <c r="L22" s="7">
        <f t="shared" ca="1" si="4"/>
        <v>45520</v>
      </c>
      <c r="M22" s="23">
        <f t="shared" ca="1" si="5"/>
        <v>45682</v>
      </c>
      <c r="N22" s="28">
        <f t="shared" ca="1" si="6"/>
        <v>125195</v>
      </c>
    </row>
    <row r="23" spans="1:14" x14ac:dyDescent="0.3">
      <c r="A23" s="4">
        <v>21</v>
      </c>
      <c r="B23" s="3" t="str">
        <f ca="1">INDEX(Данные!$A$1:$A$10, RANDBETWEEN(1,10))</f>
        <v>Vichy</v>
      </c>
      <c r="C23" s="19" t="str">
        <f ca="1">INDEX(Данные!$B$1:$B$10, RANDBETWEEN(1,10))</f>
        <v>консилер</v>
      </c>
      <c r="D23" s="18">
        <f ca="1">INDEX(Данные!$C$1:$C$6, RANDBETWEEN(1,6))</f>
        <v>10</v>
      </c>
      <c r="E23" s="2">
        <f t="shared" ca="1" si="0"/>
        <v>646</v>
      </c>
      <c r="F23" s="8">
        <f t="shared" ca="1" si="1"/>
        <v>45497</v>
      </c>
      <c r="G23" s="7">
        <f t="shared" ca="1" si="2"/>
        <v>46592</v>
      </c>
      <c r="H23" s="2">
        <f t="shared" ca="1" si="7"/>
        <v>207</v>
      </c>
      <c r="I23" s="2">
        <f t="shared" ca="1" si="3"/>
        <v>130</v>
      </c>
      <c r="J23" s="2">
        <f t="shared" ca="1" si="8"/>
        <v>77</v>
      </c>
      <c r="K23" s="2" t="str">
        <f ca="1">INDEX(Данные!$D$1:$D$5, RANDBETWEEN(1,5))</f>
        <v>мир красоты</v>
      </c>
      <c r="L23" s="7">
        <f t="shared" ca="1" si="4"/>
        <v>45598</v>
      </c>
      <c r="M23" s="23">
        <f t="shared" ca="1" si="5"/>
        <v>45679</v>
      </c>
      <c r="N23" s="28">
        <f t="shared" ca="1" si="6"/>
        <v>83980</v>
      </c>
    </row>
    <row r="24" spans="1:14" x14ac:dyDescent="0.3">
      <c r="A24" s="4">
        <v>22</v>
      </c>
      <c r="B24" s="3" t="str">
        <f ca="1">INDEX(Данные!$A$1:$A$10, RANDBETWEEN(1,10))</f>
        <v>Clarins</v>
      </c>
      <c r="C24" s="19" t="str">
        <f ca="1">INDEX(Данные!$B$1:$B$10, RANDBETWEEN(1,10))</f>
        <v>хайлайтер</v>
      </c>
      <c r="D24" s="18">
        <f ca="1">INDEX(Данные!$C$1:$C$6, RANDBETWEEN(1,6))</f>
        <v>30</v>
      </c>
      <c r="E24" s="2">
        <f t="shared" ca="1" si="0"/>
        <v>1458</v>
      </c>
      <c r="F24" s="8">
        <f t="shared" ca="1" si="1"/>
        <v>45413</v>
      </c>
      <c r="G24" s="7">
        <f t="shared" ca="1" si="2"/>
        <v>46508</v>
      </c>
      <c r="H24" s="2">
        <f t="shared" ca="1" si="7"/>
        <v>100</v>
      </c>
      <c r="I24" s="2">
        <f t="shared" ca="1" si="3"/>
        <v>20</v>
      </c>
      <c r="J24" s="2">
        <f t="shared" ca="1" si="8"/>
        <v>80</v>
      </c>
      <c r="K24" s="2" t="str">
        <f ca="1">INDEX(Данные!$D$1:$D$5, RANDBETWEEN(1,5))</f>
        <v>Соландра косметикс</v>
      </c>
      <c r="L24" s="7">
        <f t="shared" ca="1" si="4"/>
        <v>45482</v>
      </c>
      <c r="M24" s="23">
        <f t="shared" ca="1" si="5"/>
        <v>45684</v>
      </c>
      <c r="N24" s="28">
        <f t="shared" ca="1" si="6"/>
        <v>29160</v>
      </c>
    </row>
    <row r="25" spans="1:14" x14ac:dyDescent="0.3">
      <c r="A25" s="4">
        <v>23</v>
      </c>
      <c r="B25" s="3" t="str">
        <f ca="1">INDEX(Данные!$A$1:$A$10, RANDBETWEEN(1,10))</f>
        <v>Kiko</v>
      </c>
      <c r="C25" s="19" t="str">
        <f ca="1">INDEX(Данные!$B$1:$B$10, RANDBETWEEN(1,10))</f>
        <v>скульптор</v>
      </c>
      <c r="D25" s="18">
        <f ca="1">INDEX(Данные!$C$1:$C$6, RANDBETWEEN(1,6))</f>
        <v>100</v>
      </c>
      <c r="E25" s="2">
        <f t="shared" ca="1" si="0"/>
        <v>3096</v>
      </c>
      <c r="F25" s="8">
        <f t="shared" ca="1" si="1"/>
        <v>45393</v>
      </c>
      <c r="G25" s="7">
        <f t="shared" ca="1" si="2"/>
        <v>46488</v>
      </c>
      <c r="H25" s="2">
        <f t="shared" ca="1" si="7"/>
        <v>175</v>
      </c>
      <c r="I25" s="2">
        <f t="shared" ca="1" si="3"/>
        <v>20</v>
      </c>
      <c r="J25" s="2">
        <f t="shared" ca="1" si="8"/>
        <v>155</v>
      </c>
      <c r="K25" s="2" t="str">
        <f ca="1">INDEX(Данные!$D$1:$D$5, RANDBETWEEN(1,5))</f>
        <v>Соландра косметикс</v>
      </c>
      <c r="L25" s="7">
        <f t="shared" ca="1" si="4"/>
        <v>45496</v>
      </c>
      <c r="M25" s="23">
        <f t="shared" ca="1" si="5"/>
        <v>45665</v>
      </c>
      <c r="N25" s="28">
        <f t="shared" ca="1" si="6"/>
        <v>61920</v>
      </c>
    </row>
    <row r="26" spans="1:14" x14ac:dyDescent="0.3">
      <c r="A26" s="4">
        <v>24</v>
      </c>
      <c r="B26" s="3" t="str">
        <f ca="1">INDEX(Данные!$A$1:$A$10, RANDBETWEEN(1,10))</f>
        <v>Maybelline</v>
      </c>
      <c r="C26" s="19" t="str">
        <f ca="1">INDEX(Данные!$B$1:$B$10, RANDBETWEEN(1,10))</f>
        <v>пенка для умывания</v>
      </c>
      <c r="D26" s="18">
        <f ca="1">INDEX(Данные!$C$1:$C$6, RANDBETWEEN(1,6))</f>
        <v>10</v>
      </c>
      <c r="E26" s="2">
        <f t="shared" ca="1" si="0"/>
        <v>3940</v>
      </c>
      <c r="F26" s="8">
        <f t="shared" ca="1" si="1"/>
        <v>45400</v>
      </c>
      <c r="G26" s="7">
        <f t="shared" ca="1" si="2"/>
        <v>46495</v>
      </c>
      <c r="H26" s="2">
        <f t="shared" ca="1" si="7"/>
        <v>64</v>
      </c>
      <c r="I26" s="2">
        <f t="shared" ca="1" si="3"/>
        <v>55</v>
      </c>
      <c r="J26" s="2">
        <f t="shared" ca="1" si="8"/>
        <v>9</v>
      </c>
      <c r="K26" s="2" t="str">
        <f ca="1">INDEX(Данные!$D$1:$D$5, RANDBETWEEN(1,5))</f>
        <v>Пантикка</v>
      </c>
      <c r="L26" s="7">
        <f t="shared" ca="1" si="4"/>
        <v>45548</v>
      </c>
      <c r="M26" s="23">
        <f t="shared" ca="1" si="5"/>
        <v>45655</v>
      </c>
      <c r="N26" s="28">
        <f t="shared" ca="1" si="6"/>
        <v>216700</v>
      </c>
    </row>
    <row r="27" spans="1:14" x14ac:dyDescent="0.3">
      <c r="A27" s="4">
        <v>25</v>
      </c>
      <c r="B27" s="3" t="str">
        <f ca="1">INDEX(Данные!$A$1:$A$10, RANDBETWEEN(1,10))</f>
        <v>Essence</v>
      </c>
      <c r="C27" s="19" t="str">
        <f ca="1">INDEX(Данные!$B$1:$B$10, RANDBETWEEN(1,10))</f>
        <v>помада</v>
      </c>
      <c r="D27" s="18">
        <f ca="1">INDEX(Данные!$C$1:$C$6, RANDBETWEEN(1,6))</f>
        <v>50</v>
      </c>
      <c r="E27" s="2">
        <f t="shared" ca="1" si="0"/>
        <v>4162</v>
      </c>
      <c r="F27" s="8">
        <f t="shared" ca="1" si="1"/>
        <v>45681</v>
      </c>
      <c r="G27" s="7">
        <f t="shared" ca="1" si="2"/>
        <v>46776</v>
      </c>
      <c r="H27" s="2">
        <f t="shared" ca="1" si="7"/>
        <v>194</v>
      </c>
      <c r="I27" s="2">
        <f t="shared" ca="1" si="3"/>
        <v>158</v>
      </c>
      <c r="J27" s="2">
        <f t="shared" ca="1" si="8"/>
        <v>36</v>
      </c>
      <c r="K27" s="2" t="str">
        <f ca="1">INDEX(Данные!$D$1:$D$5, RANDBETWEEN(1,5))</f>
        <v>Пантикка</v>
      </c>
      <c r="L27" s="7">
        <f t="shared" ca="1" si="4"/>
        <v>45698</v>
      </c>
      <c r="M27" s="23">
        <f t="shared" ca="1" si="5"/>
        <v>45706</v>
      </c>
      <c r="N27" s="28">
        <f t="shared" ca="1" si="6"/>
        <v>657596</v>
      </c>
    </row>
    <row r="28" spans="1:14" x14ac:dyDescent="0.3">
      <c r="A28" s="4">
        <v>26</v>
      </c>
      <c r="B28" s="3" t="str">
        <f ca="1">INDEX(Данные!$A$1:$A$10, RANDBETWEEN(1,10))</f>
        <v>Clinique</v>
      </c>
      <c r="C28" s="19" t="str">
        <f ca="1">INDEX(Данные!$B$1:$B$10, RANDBETWEEN(1,10))</f>
        <v>скульптор</v>
      </c>
      <c r="D28" s="18">
        <f ca="1">INDEX(Данные!$C$1:$C$6, RANDBETWEEN(1,6))</f>
        <v>15</v>
      </c>
      <c r="E28" s="2">
        <f t="shared" ca="1" si="0"/>
        <v>3751</v>
      </c>
      <c r="F28" s="8">
        <f t="shared" ca="1" si="1"/>
        <v>45549</v>
      </c>
      <c r="G28" s="7">
        <f t="shared" ca="1" si="2"/>
        <v>46644</v>
      </c>
      <c r="H28" s="2">
        <f t="shared" ca="1" si="7"/>
        <v>50</v>
      </c>
      <c r="I28" s="2">
        <f t="shared" ca="1" si="3"/>
        <v>40</v>
      </c>
      <c r="J28" s="2">
        <f t="shared" ca="1" si="8"/>
        <v>10</v>
      </c>
      <c r="K28" s="2" t="str">
        <f ca="1">INDEX(Данные!$D$1:$D$5, RANDBETWEEN(1,5))</f>
        <v>Соландра косметикс</v>
      </c>
      <c r="L28" s="7">
        <f t="shared" ca="1" si="4"/>
        <v>45687</v>
      </c>
      <c r="M28" s="23">
        <f t="shared" ca="1" si="5"/>
        <v>45688</v>
      </c>
      <c r="N28" s="28">
        <f t="shared" ca="1" si="6"/>
        <v>150040</v>
      </c>
    </row>
    <row r="29" spans="1:14" x14ac:dyDescent="0.3">
      <c r="A29" s="4">
        <v>27</v>
      </c>
      <c r="B29" s="3" t="str">
        <f ca="1">INDEX(Данные!$A$1:$A$10, RANDBETWEEN(1,10))</f>
        <v>Clinique</v>
      </c>
      <c r="C29" s="19" t="str">
        <f ca="1">INDEX(Данные!$B$1:$B$10, RANDBETWEEN(1,10))</f>
        <v>тушь</v>
      </c>
      <c r="D29" s="18">
        <f ca="1">INDEX(Данные!$C$1:$C$6, RANDBETWEEN(1,6))</f>
        <v>30</v>
      </c>
      <c r="E29" s="2">
        <f t="shared" ca="1" si="0"/>
        <v>4513</v>
      </c>
      <c r="F29" s="8">
        <f t="shared" ca="1" si="1"/>
        <v>45661</v>
      </c>
      <c r="G29" s="7">
        <f t="shared" ca="1" si="2"/>
        <v>46756</v>
      </c>
      <c r="H29" s="2">
        <f t="shared" ca="1" si="7"/>
        <v>52</v>
      </c>
      <c r="I29" s="2">
        <f t="shared" ca="1" si="3"/>
        <v>40</v>
      </c>
      <c r="J29" s="2">
        <f t="shared" ca="1" si="8"/>
        <v>12</v>
      </c>
      <c r="K29" s="2" t="str">
        <f ca="1">INDEX(Данные!$D$1:$D$5, RANDBETWEEN(1,5))</f>
        <v>ИП Иванова</v>
      </c>
      <c r="L29" s="7">
        <f t="shared" ca="1" si="4"/>
        <v>45707</v>
      </c>
      <c r="M29" s="23">
        <f t="shared" ca="1" si="5"/>
        <v>45707</v>
      </c>
      <c r="N29" s="28">
        <f t="shared" ca="1" si="6"/>
        <v>180520</v>
      </c>
    </row>
    <row r="30" spans="1:14" x14ac:dyDescent="0.3">
      <c r="A30" s="4">
        <v>28</v>
      </c>
      <c r="B30" s="3" t="str">
        <f ca="1">INDEX(Данные!$A$1:$A$10, RANDBETWEEN(1,10))</f>
        <v>Clinique</v>
      </c>
      <c r="C30" s="19" t="str">
        <f ca="1">INDEX(Данные!$B$1:$B$10, RANDBETWEEN(1,10))</f>
        <v>пенка для умывания</v>
      </c>
      <c r="D30" s="18">
        <f ca="1">INDEX(Данные!$C$1:$C$6, RANDBETWEEN(1,6))</f>
        <v>50</v>
      </c>
      <c r="E30" s="2">
        <f t="shared" ca="1" si="0"/>
        <v>1798</v>
      </c>
      <c r="F30" s="8">
        <f t="shared" ca="1" si="1"/>
        <v>45466</v>
      </c>
      <c r="G30" s="7">
        <f t="shared" ca="1" si="2"/>
        <v>46561</v>
      </c>
      <c r="H30" s="2">
        <f t="shared" ca="1" si="7"/>
        <v>272</v>
      </c>
      <c r="I30" s="2">
        <f t="shared" ca="1" si="3"/>
        <v>29</v>
      </c>
      <c r="J30" s="2">
        <f t="shared" ca="1" si="8"/>
        <v>243</v>
      </c>
      <c r="K30" s="2" t="str">
        <f ca="1">INDEX(Данные!$D$1:$D$5, RANDBETWEEN(1,5))</f>
        <v>Соландра косметикс</v>
      </c>
      <c r="L30" s="7">
        <f t="shared" ca="1" si="4"/>
        <v>45662</v>
      </c>
      <c r="M30" s="23">
        <f t="shared" ca="1" si="5"/>
        <v>45695</v>
      </c>
      <c r="N30" s="28">
        <f t="shared" ca="1" si="6"/>
        <v>52142</v>
      </c>
    </row>
    <row r="31" spans="1:14" x14ac:dyDescent="0.3">
      <c r="A31" s="4">
        <v>29</v>
      </c>
      <c r="B31" s="3" t="str">
        <f ca="1">INDEX(Данные!$A$1:$A$10, RANDBETWEEN(1,10))</f>
        <v>Loreal Paris</v>
      </c>
      <c r="C31" s="19" t="str">
        <f ca="1">INDEX(Данные!$B$1:$B$10, RANDBETWEEN(1,10))</f>
        <v>консилер</v>
      </c>
      <c r="D31" s="18">
        <f ca="1">INDEX(Данные!$C$1:$C$6, RANDBETWEEN(1,6))</f>
        <v>10</v>
      </c>
      <c r="E31" s="2">
        <f t="shared" ca="1" si="0"/>
        <v>4805</v>
      </c>
      <c r="F31" s="8">
        <f t="shared" ca="1" si="1"/>
        <v>45625</v>
      </c>
      <c r="G31" s="7">
        <f t="shared" ca="1" si="2"/>
        <v>46720</v>
      </c>
      <c r="H31" s="2">
        <f t="shared" ca="1" si="7"/>
        <v>234</v>
      </c>
      <c r="I31" s="2">
        <f t="shared" ca="1" si="3"/>
        <v>184</v>
      </c>
      <c r="J31" s="2">
        <f t="shared" ca="1" si="8"/>
        <v>50</v>
      </c>
      <c r="K31" s="2" t="str">
        <f ca="1">INDEX(Данные!$D$1:$D$5, RANDBETWEEN(1,5))</f>
        <v>Соландра косметикс</v>
      </c>
      <c r="L31" s="7">
        <f t="shared" ca="1" si="4"/>
        <v>45685</v>
      </c>
      <c r="M31" s="23">
        <f t="shared" ca="1" si="5"/>
        <v>45705</v>
      </c>
      <c r="N31" s="28">
        <f t="shared" ca="1" si="6"/>
        <v>884120</v>
      </c>
    </row>
    <row r="32" spans="1:14" x14ac:dyDescent="0.3">
      <c r="A32" s="4">
        <v>30</v>
      </c>
      <c r="B32" s="3" t="str">
        <f ca="1">INDEX(Данные!$A$1:$A$10, RANDBETWEEN(1,10))</f>
        <v>Kiko</v>
      </c>
      <c r="C32" s="19" t="str">
        <f ca="1">INDEX(Данные!$B$1:$B$10, RANDBETWEEN(1,10))</f>
        <v>блеск для губ</v>
      </c>
      <c r="D32" s="18">
        <f ca="1">INDEX(Данные!$C$1:$C$6, RANDBETWEEN(1,6))</f>
        <v>15</v>
      </c>
      <c r="E32" s="2">
        <f t="shared" ca="1" si="0"/>
        <v>1832</v>
      </c>
      <c r="F32" s="8">
        <f t="shared" ca="1" si="1"/>
        <v>45524</v>
      </c>
      <c r="G32" s="7">
        <f t="shared" ca="1" si="2"/>
        <v>46619</v>
      </c>
      <c r="H32" s="2">
        <f t="shared" ca="1" si="7"/>
        <v>69</v>
      </c>
      <c r="I32" s="2">
        <f t="shared" ca="1" si="3"/>
        <v>33</v>
      </c>
      <c r="J32" s="2">
        <f t="shared" ca="1" si="8"/>
        <v>36</v>
      </c>
      <c r="K32" s="2" t="str">
        <f ca="1">INDEX(Данные!$D$1:$D$5, RANDBETWEEN(1,5))</f>
        <v>Соландра косметикс</v>
      </c>
      <c r="L32" s="7">
        <f t="shared" ca="1" si="4"/>
        <v>45680</v>
      </c>
      <c r="M32" s="23">
        <f t="shared" ca="1" si="5"/>
        <v>45706</v>
      </c>
      <c r="N32" s="28">
        <f t="shared" ca="1" si="6"/>
        <v>60456</v>
      </c>
    </row>
    <row r="33" spans="1:14" x14ac:dyDescent="0.3">
      <c r="A33" s="4">
        <v>31</v>
      </c>
      <c r="B33" s="3" t="str">
        <f ca="1">INDEX(Данные!$A$1:$A$10, RANDBETWEEN(1,10))</f>
        <v>Vichy</v>
      </c>
      <c r="C33" s="19" t="str">
        <f ca="1">INDEX(Данные!$B$1:$B$10, RANDBETWEEN(1,10))</f>
        <v>праймер</v>
      </c>
      <c r="D33" s="18">
        <f ca="1">INDEX(Данные!$C$1:$C$6, RANDBETWEEN(1,6))</f>
        <v>10</v>
      </c>
      <c r="E33" s="2">
        <f t="shared" ca="1" si="0"/>
        <v>3102</v>
      </c>
      <c r="F33" s="8">
        <f t="shared" ca="1" si="1"/>
        <v>45409</v>
      </c>
      <c r="G33" s="7">
        <f t="shared" ca="1" si="2"/>
        <v>46504</v>
      </c>
      <c r="H33" s="2">
        <f t="shared" ca="1" si="7"/>
        <v>213</v>
      </c>
      <c r="I33" s="2">
        <f t="shared" ca="1" si="3"/>
        <v>178</v>
      </c>
      <c r="J33" s="2">
        <f t="shared" ca="1" si="8"/>
        <v>35</v>
      </c>
      <c r="K33" s="2" t="str">
        <f ca="1">INDEX(Данные!$D$1:$D$5, RANDBETWEEN(1,5))</f>
        <v>органик лайн</v>
      </c>
      <c r="L33" s="7">
        <f t="shared" ca="1" si="4"/>
        <v>45585</v>
      </c>
      <c r="M33" s="23">
        <f t="shared" ca="1" si="5"/>
        <v>45688</v>
      </c>
      <c r="N33" s="28">
        <f t="shared" ca="1" si="6"/>
        <v>552156</v>
      </c>
    </row>
    <row r="34" spans="1:14" x14ac:dyDescent="0.3">
      <c r="A34" s="4">
        <v>32</v>
      </c>
      <c r="B34" s="3" t="str">
        <f ca="1">INDEX(Данные!$A$1:$A$10, RANDBETWEEN(1,10))</f>
        <v>Gosh</v>
      </c>
      <c r="C34" s="19" t="str">
        <f ca="1">INDEX(Данные!$B$1:$B$10, RANDBETWEEN(1,10))</f>
        <v>праймер</v>
      </c>
      <c r="D34" s="18">
        <f ca="1">INDEX(Данные!$C$1:$C$6, RANDBETWEEN(1,6))</f>
        <v>15</v>
      </c>
      <c r="E34" s="2">
        <f t="shared" ca="1" si="0"/>
        <v>2245</v>
      </c>
      <c r="F34" s="8">
        <f t="shared" ca="1" si="1"/>
        <v>45436</v>
      </c>
      <c r="G34" s="7">
        <f t="shared" ca="1" si="2"/>
        <v>46531</v>
      </c>
      <c r="H34" s="2">
        <f t="shared" ca="1" si="7"/>
        <v>257</v>
      </c>
      <c r="I34" s="2">
        <f t="shared" ca="1" si="3"/>
        <v>41</v>
      </c>
      <c r="J34" s="2">
        <f t="shared" ca="1" si="8"/>
        <v>216</v>
      </c>
      <c r="K34" s="2" t="str">
        <f ca="1">INDEX(Данные!$D$1:$D$5, RANDBETWEEN(1,5))</f>
        <v>мир красоты</v>
      </c>
      <c r="L34" s="7">
        <f t="shared" ca="1" si="4"/>
        <v>45588</v>
      </c>
      <c r="M34" s="23">
        <f t="shared" ca="1" si="5"/>
        <v>45652</v>
      </c>
      <c r="N34" s="28">
        <f t="shared" ca="1" si="6"/>
        <v>92045</v>
      </c>
    </row>
    <row r="35" spans="1:14" x14ac:dyDescent="0.3">
      <c r="A35" s="4">
        <v>33</v>
      </c>
      <c r="B35" s="3" t="str">
        <f ca="1">INDEX(Данные!$A$1:$A$10, RANDBETWEEN(1,10))</f>
        <v>Gosh</v>
      </c>
      <c r="C35" s="19" t="str">
        <f ca="1">INDEX(Данные!$B$1:$B$10, RANDBETWEEN(1,10))</f>
        <v>праймер</v>
      </c>
      <c r="D35" s="18">
        <f ca="1">INDEX(Данные!$C$1:$C$6, RANDBETWEEN(1,6))</f>
        <v>30</v>
      </c>
      <c r="E35" s="2">
        <f t="shared" ca="1" si="0"/>
        <v>4803</v>
      </c>
      <c r="F35" s="8">
        <f t="shared" ca="1" si="1"/>
        <v>45429</v>
      </c>
      <c r="G35" s="7">
        <f t="shared" ca="1" si="2"/>
        <v>46524</v>
      </c>
      <c r="H35" s="2">
        <f t="shared" ca="1" si="7"/>
        <v>92</v>
      </c>
      <c r="I35" s="2">
        <f t="shared" ca="1" si="3"/>
        <v>54</v>
      </c>
      <c r="J35" s="2">
        <f t="shared" ca="1" si="8"/>
        <v>38</v>
      </c>
      <c r="K35" s="2" t="str">
        <f ca="1">INDEX(Данные!$D$1:$D$5, RANDBETWEEN(1,5))</f>
        <v>Соландра косметикс</v>
      </c>
      <c r="L35" s="7">
        <f t="shared" ca="1" si="4"/>
        <v>45587</v>
      </c>
      <c r="M35" s="23">
        <f t="shared" ca="1" si="5"/>
        <v>45703</v>
      </c>
      <c r="N35" s="28">
        <f t="shared" ca="1" si="6"/>
        <v>259362</v>
      </c>
    </row>
    <row r="36" spans="1:14" ht="15" thickBot="1" x14ac:dyDescent="0.35">
      <c r="A36" s="5">
        <v>34</v>
      </c>
      <c r="B36" s="20" t="str">
        <f ca="1">INDEX(Данные!$A$1:$A$10, RANDBETWEEN(1,10))</f>
        <v>NYX</v>
      </c>
      <c r="C36" s="21" t="str">
        <f ca="1">INDEX(Данные!$B$1:$B$10, RANDBETWEEN(1,10))</f>
        <v>праймер</v>
      </c>
      <c r="D36" s="22">
        <f ca="1">INDEX(Данные!$C$1:$C$6, RANDBETWEEN(1,6))</f>
        <v>20</v>
      </c>
      <c r="E36" s="6">
        <f t="shared" ca="1" si="0"/>
        <v>1864</v>
      </c>
      <c r="F36" s="14">
        <f t="shared" ca="1" si="1"/>
        <v>45600</v>
      </c>
      <c r="G36" s="15">
        <f t="shared" ca="1" si="2"/>
        <v>46695</v>
      </c>
      <c r="H36" s="6">
        <f t="shared" ca="1" si="7"/>
        <v>298</v>
      </c>
      <c r="I36" s="6">
        <f t="shared" ca="1" si="3"/>
        <v>2</v>
      </c>
      <c r="J36" s="6">
        <f t="shared" ca="1" si="8"/>
        <v>296</v>
      </c>
      <c r="K36" s="21" t="str">
        <f ca="1">INDEX(Данные!$D$1:$D$5, RANDBETWEEN(1,5))</f>
        <v>Пантикка</v>
      </c>
      <c r="L36" s="15">
        <f t="shared" ca="1" si="4"/>
        <v>45606</v>
      </c>
      <c r="M36" s="24">
        <f t="shared" ca="1" si="5"/>
        <v>45674</v>
      </c>
      <c r="N36" s="29">
        <f t="shared" ca="1" si="6"/>
        <v>3728</v>
      </c>
    </row>
  </sheetData>
  <mergeCells count="14">
    <mergeCell ref="A1:A2"/>
    <mergeCell ref="B1:B2"/>
    <mergeCell ref="E1:E2"/>
    <mergeCell ref="F1:F2"/>
    <mergeCell ref="G1:G2"/>
    <mergeCell ref="N1:N2"/>
    <mergeCell ref="L1:L2"/>
    <mergeCell ref="M1:M2"/>
    <mergeCell ref="C1:C2"/>
    <mergeCell ref="D1:D2"/>
    <mergeCell ref="J1:J2"/>
    <mergeCell ref="K1:K2"/>
    <mergeCell ref="H1:H2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8D22-7A84-402F-A5F8-5BA622DC860F}">
  <dimension ref="A1:D10"/>
  <sheetViews>
    <sheetView workbookViewId="0">
      <selection activeCell="A2" sqref="A1:A10"/>
    </sheetView>
  </sheetViews>
  <sheetFormatPr defaultRowHeight="14.4" x14ac:dyDescent="0.3"/>
  <sheetData>
    <row r="1" spans="1:4" x14ac:dyDescent="0.3">
      <c r="A1" t="s">
        <v>9</v>
      </c>
      <c r="B1" t="s">
        <v>19</v>
      </c>
      <c r="C1">
        <v>10</v>
      </c>
      <c r="D1" t="s">
        <v>29</v>
      </c>
    </row>
    <row r="2" spans="1:4" x14ac:dyDescent="0.3">
      <c r="A2" t="s">
        <v>10</v>
      </c>
      <c r="B2" t="s">
        <v>20</v>
      </c>
      <c r="C2">
        <v>15</v>
      </c>
      <c r="D2" t="s">
        <v>30</v>
      </c>
    </row>
    <row r="3" spans="1:4" x14ac:dyDescent="0.3">
      <c r="A3" t="s">
        <v>11</v>
      </c>
      <c r="B3" t="s">
        <v>21</v>
      </c>
      <c r="C3">
        <v>20</v>
      </c>
      <c r="D3" t="s">
        <v>31</v>
      </c>
    </row>
    <row r="4" spans="1:4" x14ac:dyDescent="0.3">
      <c r="A4" t="s">
        <v>12</v>
      </c>
      <c r="B4" t="s">
        <v>22</v>
      </c>
      <c r="C4">
        <v>30</v>
      </c>
      <c r="D4" t="s">
        <v>32</v>
      </c>
    </row>
    <row r="5" spans="1:4" x14ac:dyDescent="0.3">
      <c r="A5" t="s">
        <v>13</v>
      </c>
      <c r="B5" t="s">
        <v>23</v>
      </c>
      <c r="C5">
        <v>50</v>
      </c>
      <c r="D5" t="s">
        <v>33</v>
      </c>
    </row>
    <row r="6" spans="1:4" x14ac:dyDescent="0.3">
      <c r="A6" t="s">
        <v>14</v>
      </c>
      <c r="B6" t="s">
        <v>24</v>
      </c>
      <c r="C6">
        <v>100</v>
      </c>
    </row>
    <row r="7" spans="1:4" x14ac:dyDescent="0.3">
      <c r="A7" t="s">
        <v>15</v>
      </c>
      <c r="B7" t="s">
        <v>25</v>
      </c>
    </row>
    <row r="8" spans="1:4" x14ac:dyDescent="0.3">
      <c r="A8" t="s">
        <v>16</v>
      </c>
      <c r="B8" t="s">
        <v>26</v>
      </c>
    </row>
    <row r="9" spans="1:4" x14ac:dyDescent="0.3">
      <c r="A9" t="s">
        <v>17</v>
      </c>
      <c r="B9" t="s">
        <v>27</v>
      </c>
    </row>
    <row r="10" spans="1:4" x14ac:dyDescent="0.3">
      <c r="A10" t="s">
        <v>18</v>
      </c>
      <c r="B10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908E-CA89-4C59-95AE-950CF2FCC8C2}">
  <dimension ref="A1:G46"/>
  <sheetViews>
    <sheetView tabSelected="1" topLeftCell="A11" workbookViewId="0">
      <selection activeCell="J25" sqref="J25"/>
    </sheetView>
  </sheetViews>
  <sheetFormatPr defaultRowHeight="14.4" x14ac:dyDescent="0.3"/>
  <cols>
    <col min="1" max="1" width="17" bestFit="1" customWidth="1"/>
    <col min="2" max="2" width="23.6640625" bestFit="1" customWidth="1"/>
    <col min="3" max="3" width="18.88671875" customWidth="1"/>
  </cols>
  <sheetData>
    <row r="1" spans="1:3" x14ac:dyDescent="0.3">
      <c r="A1" s="46" t="s">
        <v>39</v>
      </c>
      <c r="B1" s="46" t="s">
        <v>40</v>
      </c>
    </row>
    <row r="2" spans="1:3" x14ac:dyDescent="0.3">
      <c r="A2" s="46" t="s">
        <v>41</v>
      </c>
      <c r="B2" t="s">
        <v>27</v>
      </c>
      <c r="C2" t="s">
        <v>42</v>
      </c>
    </row>
    <row r="3" spans="1:3" x14ac:dyDescent="0.3">
      <c r="A3" s="44" t="s">
        <v>43</v>
      </c>
      <c r="B3">
        <v>249</v>
      </c>
      <c r="C3">
        <v>249</v>
      </c>
    </row>
    <row r="4" spans="1:3" x14ac:dyDescent="0.3">
      <c r="A4" s="45" t="s">
        <v>30</v>
      </c>
      <c r="B4">
        <v>127</v>
      </c>
      <c r="C4">
        <v>127</v>
      </c>
    </row>
    <row r="5" spans="1:3" x14ac:dyDescent="0.3">
      <c r="A5" s="45" t="s">
        <v>29</v>
      </c>
      <c r="B5">
        <v>122</v>
      </c>
      <c r="C5">
        <v>122</v>
      </c>
    </row>
    <row r="6" spans="1:3" x14ac:dyDescent="0.3">
      <c r="A6" s="44" t="s">
        <v>44</v>
      </c>
      <c r="B6">
        <v>597</v>
      </c>
      <c r="C6">
        <v>597</v>
      </c>
    </row>
    <row r="7" spans="1:3" x14ac:dyDescent="0.3">
      <c r="A7" s="45" t="s">
        <v>30</v>
      </c>
      <c r="B7">
        <v>212</v>
      </c>
      <c r="C7">
        <v>212</v>
      </c>
    </row>
    <row r="8" spans="1:3" x14ac:dyDescent="0.3">
      <c r="A8" s="45" t="s">
        <v>29</v>
      </c>
      <c r="B8">
        <v>272</v>
      </c>
      <c r="C8">
        <v>272</v>
      </c>
    </row>
    <row r="9" spans="1:3" x14ac:dyDescent="0.3">
      <c r="A9" s="45" t="s">
        <v>32</v>
      </c>
      <c r="B9">
        <v>53</v>
      </c>
      <c r="C9">
        <v>53</v>
      </c>
    </row>
    <row r="10" spans="1:3" x14ac:dyDescent="0.3">
      <c r="A10" s="45" t="s">
        <v>33</v>
      </c>
      <c r="B10">
        <v>60</v>
      </c>
      <c r="C10">
        <v>60</v>
      </c>
    </row>
    <row r="11" spans="1:3" x14ac:dyDescent="0.3">
      <c r="A11" s="44" t="s">
        <v>45</v>
      </c>
      <c r="B11">
        <v>65</v>
      </c>
      <c r="C11">
        <v>65</v>
      </c>
    </row>
    <row r="12" spans="1:3" x14ac:dyDescent="0.3">
      <c r="A12" s="45" t="s">
        <v>32</v>
      </c>
      <c r="B12">
        <v>65</v>
      </c>
      <c r="C12">
        <v>65</v>
      </c>
    </row>
    <row r="13" spans="1:3" x14ac:dyDescent="0.3">
      <c r="A13" s="44" t="s">
        <v>46</v>
      </c>
      <c r="B13">
        <v>185</v>
      </c>
      <c r="C13">
        <v>185</v>
      </c>
    </row>
    <row r="14" spans="1:3" x14ac:dyDescent="0.3">
      <c r="A14" s="45" t="s">
        <v>33</v>
      </c>
      <c r="B14">
        <v>135</v>
      </c>
      <c r="C14">
        <v>135</v>
      </c>
    </row>
    <row r="15" spans="1:3" x14ac:dyDescent="0.3">
      <c r="A15" s="45" t="s">
        <v>31</v>
      </c>
      <c r="B15">
        <v>50</v>
      </c>
      <c r="C15">
        <v>50</v>
      </c>
    </row>
    <row r="16" spans="1:3" x14ac:dyDescent="0.3">
      <c r="A16" s="44" t="s">
        <v>42</v>
      </c>
      <c r="B16">
        <v>1096</v>
      </c>
      <c r="C16">
        <v>1096</v>
      </c>
    </row>
    <row r="20" spans="1:7" x14ac:dyDescent="0.3">
      <c r="A20" s="46"/>
      <c r="B20" s="46" t="s">
        <v>40</v>
      </c>
    </row>
    <row r="21" spans="1:7" x14ac:dyDescent="0.3">
      <c r="B21" t="s">
        <v>27</v>
      </c>
      <c r="C21" t="s">
        <v>21</v>
      </c>
      <c r="D21" t="s">
        <v>24</v>
      </c>
      <c r="E21" t="s">
        <v>20</v>
      </c>
      <c r="F21" t="s">
        <v>23</v>
      </c>
      <c r="G21" t="s">
        <v>42</v>
      </c>
    </row>
    <row r="22" spans="1:7" x14ac:dyDescent="0.3">
      <c r="A22" t="s">
        <v>39</v>
      </c>
      <c r="B22">
        <v>2037</v>
      </c>
      <c r="C22">
        <v>1605</v>
      </c>
      <c r="D22">
        <v>1287</v>
      </c>
      <c r="E22">
        <v>1081</v>
      </c>
      <c r="F22">
        <v>1408</v>
      </c>
      <c r="G22">
        <v>7418</v>
      </c>
    </row>
    <row r="41" spans="1:2" x14ac:dyDescent="0.3">
      <c r="A41" s="46" t="s">
        <v>41</v>
      </c>
      <c r="B41" t="s">
        <v>47</v>
      </c>
    </row>
    <row r="42" spans="1:2" x14ac:dyDescent="0.3">
      <c r="A42" s="44" t="s">
        <v>43</v>
      </c>
      <c r="B42" s="47">
        <v>8324029</v>
      </c>
    </row>
    <row r="43" spans="1:2" x14ac:dyDescent="0.3">
      <c r="A43" s="44" t="s">
        <v>44</v>
      </c>
      <c r="B43" s="47">
        <v>10221011</v>
      </c>
    </row>
    <row r="44" spans="1:2" x14ac:dyDescent="0.3">
      <c r="A44" s="44" t="s">
        <v>45</v>
      </c>
      <c r="B44" s="47">
        <v>8168838</v>
      </c>
    </row>
    <row r="45" spans="1:2" x14ac:dyDescent="0.3">
      <c r="A45" s="44" t="s">
        <v>46</v>
      </c>
      <c r="B45" s="47">
        <v>5077128</v>
      </c>
    </row>
    <row r="46" spans="1:2" x14ac:dyDescent="0.3">
      <c r="A46" s="44" t="s">
        <v>42</v>
      </c>
      <c r="B46" s="47">
        <v>31791006</v>
      </c>
    </row>
  </sheetData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A58B5F-F84C-4145-A339-A9D991AB01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Юг</vt:lpstr>
      <vt:lpstr>Север</vt:lpstr>
      <vt:lpstr>Запад</vt:lpstr>
      <vt:lpstr>Восток</vt:lpstr>
      <vt:lpstr>Данные</vt:lpstr>
      <vt:lpstr>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2026-07-13T16:06:32Z</dcterms:modified>
</cp:coreProperties>
</file>