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5E2AF794-8D31-4BDB-959F-30ABCCB5DF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P2" i="1"/>
  <c r="N2" i="1"/>
  <c r="G2" i="1"/>
  <c r="I2" i="1" s="1"/>
  <c r="C5" i="1"/>
  <c r="B5" i="1"/>
  <c r="K2" i="1"/>
  <c r="L2" i="1"/>
  <c r="B12" i="1"/>
</calcChain>
</file>

<file path=xl/sharedStrings.xml><?xml version="1.0" encoding="utf-8"?>
<sst xmlns="http://schemas.openxmlformats.org/spreadsheetml/2006/main" count="23" uniqueCount="15">
  <si>
    <t>ИП</t>
  </si>
  <si>
    <t>физ лицо</t>
  </si>
  <si>
    <t>запрашиваемая сумма</t>
  </si>
  <si>
    <t>НДФЛ</t>
  </si>
  <si>
    <t>Страховые взносы</t>
  </si>
  <si>
    <t>Общие затраты фирмы</t>
  </si>
  <si>
    <t>Налог</t>
  </si>
  <si>
    <t>На руки</t>
  </si>
  <si>
    <t>Обойдешься фирме</t>
  </si>
  <si>
    <t>Официльная зарплата</t>
  </si>
  <si>
    <t>Параметр</t>
  </si>
  <si>
    <t>Для физлица:
Хочет получить 35 000 ₽ на руки
НДФЛ = 13% (0.13)
Страховые взносы = 30% (0.30)
Формула в C5:
=C2/(1-C3)*(1+C4) = 35000 / (1-0.13) * (1+0.30)
Расчёт по шагам:
Официальная зарплата (E2): =C2/(1-C3) = 35000 / 0.87 ≈ 40 229,89
Налог (G2): =E2*C3 ≈ 40 229,89 × 0.13 ≈ 5 229,89
На руки (I2): =E2−G2 ≈ 40 229,89 − 5 229,89 = 35 000
Страховые взносы: =E2*C4 ≈ 40 229,89 × 0.30 ≈ 12 068,97
Общие затраты фирмы (L2): =E2+E2*C4 ≈ 40 229,89 + 12 068,97 ≈ 52 298,86</t>
  </si>
  <si>
    <t>страховые</t>
  </si>
  <si>
    <t>общие затраты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</si>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</sst>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17" fontId="0" fillId="0" borderId="0" xfId="0" applyNumberFormat="1"/>
    <xf numFmtId="9" fontId="0" fillId="0" borderId="1" xfId="0" applyNumberFormat="1" applyBorder="1"/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wrapText="1"/>
    </xf>
    <xf numFmtId="0" fontId="0" fillId="0" borderId="0" xfId="0"/>
    <xf numFmtId="0" fontId="0" fillId="0" borderId="6" xfId="0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abSelected="1" workbookViewId="0">
      <selection activeCell="R2" sqref="R2"/>
    </sheetView>
  </sheetViews>
  <sheetFormatPr defaultRowHeight="14.4" x14ac:dyDescent="0.3"/>
  <cols>
    <col min="1" max="1" width="22" customWidth="1"/>
    <col min="2" max="2" width="14.109375" customWidth="1"/>
    <col min="3" max="3" width="14.6640625" customWidth="1"/>
    <col min="5" max="5" width="20.21875" customWidth="1"/>
    <col min="9" max="9" width="13.109375" customWidth="1"/>
    <col min="11" max="11" width="18.5546875" customWidth="1"/>
    <col min="12" max="12" width="19.44140625" hidden="1" customWidth="1"/>
    <col min="14" max="14" width="13" customWidth="1"/>
    <col min="16" max="16" width="16.88671875" customWidth="1"/>
  </cols>
  <sheetData>
    <row r="1" spans="1:18" ht="15" thickBot="1" x14ac:dyDescent="0.35">
      <c r="A1" s="7" t="s">
        <v>10</v>
      </c>
      <c r="B1" s="8" t="s">
        <v>0</v>
      </c>
      <c r="C1" s="9" t="s">
        <v>1</v>
      </c>
      <c r="E1" s="6" t="s">
        <v>9</v>
      </c>
      <c r="G1" s="6" t="s">
        <v>6</v>
      </c>
      <c r="I1" s="10" t="s">
        <v>7</v>
      </c>
      <c r="K1" s="10" t="s">
        <v>8</v>
      </c>
      <c r="L1" s="10" t="s">
        <v>8</v>
      </c>
      <c r="N1" s="10" t="s">
        <v>12</v>
      </c>
      <c r="P1" s="10" t="s">
        <v>13</v>
      </c>
      <c r="R1" s="10" t="s">
        <v>14</v>
      </c>
    </row>
    <row r="2" spans="1:18" x14ac:dyDescent="0.3">
      <c r="A2" s="2" t="s">
        <v>2</v>
      </c>
      <c r="B2" s="2">
        <v>50000</v>
      </c>
      <c r="C2" s="2">
        <v>35000</v>
      </c>
      <c r="E2" s="5">
        <v>40229.885057471263</v>
      </c>
      <c r="G2">
        <f>E2*C3</f>
        <v>5229.8850574712642</v>
      </c>
      <c r="I2">
        <f>E2-G2</f>
        <v>35000</v>
      </c>
      <c r="K2">
        <f>MIN(B5:C5)</f>
        <v>50000</v>
      </c>
      <c r="L2">
        <f>E2+E2*C4</f>
        <v>52298.85057471264</v>
      </c>
      <c r="N2">
        <f>E2*C4</f>
        <v>12068.965517241379</v>
      </c>
      <c r="P2">
        <f>N2+E2</f>
        <v>52298.85057471264</v>
      </c>
      <c r="R2">
        <f>P2-K2</f>
        <v>2298.8505747126401</v>
      </c>
    </row>
    <row r="3" spans="1:18" x14ac:dyDescent="0.3">
      <c r="A3" s="1" t="s">
        <v>3</v>
      </c>
      <c r="B3" s="1">
        <v>0</v>
      </c>
      <c r="C3" s="4">
        <v>0.13</v>
      </c>
    </row>
    <row r="4" spans="1:18" x14ac:dyDescent="0.3">
      <c r="A4" s="1" t="s">
        <v>4</v>
      </c>
      <c r="B4" s="1">
        <v>0</v>
      </c>
      <c r="C4" s="4">
        <v>0.3</v>
      </c>
    </row>
    <row r="5" spans="1:18" x14ac:dyDescent="0.3">
      <c r="A5" s="1" t="s">
        <v>5</v>
      </c>
      <c r="B5" s="1">
        <f>B2/(1-B3)*(1+B4)</f>
        <v>50000</v>
      </c>
      <c r="C5" s="1">
        <f>C2/(1-C3)*(1+C4)</f>
        <v>52298.850574712647</v>
      </c>
    </row>
    <row r="6" spans="1:18" x14ac:dyDescent="0.3">
      <c r="G6" s="3"/>
    </row>
    <row r="7" spans="1:18" ht="15" hidden="1" thickBot="1" x14ac:dyDescent="0.35"/>
    <row r="8" spans="1:18" ht="15" hidden="1" thickBot="1" x14ac:dyDescent="0.35">
      <c r="A8" s="7" t="s">
        <v>10</v>
      </c>
      <c r="B8" s="8" t="s">
        <v>0</v>
      </c>
      <c r="C8" s="9" t="s">
        <v>1</v>
      </c>
    </row>
    <row r="9" spans="1:18" hidden="1" x14ac:dyDescent="0.3">
      <c r="A9" s="2" t="s">
        <v>2</v>
      </c>
      <c r="B9" s="2">
        <v>50000</v>
      </c>
      <c r="C9" s="2">
        <v>35000</v>
      </c>
    </row>
    <row r="10" spans="1:18" hidden="1" x14ac:dyDescent="0.3">
      <c r="A10" s="1" t="s">
        <v>3</v>
      </c>
      <c r="B10" s="1">
        <v>0</v>
      </c>
      <c r="C10" s="4">
        <v>0.13</v>
      </c>
    </row>
    <row r="11" spans="1:18" hidden="1" x14ac:dyDescent="0.3">
      <c r="A11" s="1" t="s">
        <v>4</v>
      </c>
      <c r="B11" s="1">
        <v>0</v>
      </c>
      <c r="C11" s="4">
        <v>0.3</v>
      </c>
    </row>
    <row r="12" spans="1:18" hidden="1" x14ac:dyDescent="0.3">
      <c r="A12" s="1" t="s">
        <v>5</v>
      </c>
      <c r="B12" s="13">
        <f>C9/(1-C10)*(1+C11)</f>
        <v>52298.850574712647</v>
      </c>
      <c r="C12" s="14"/>
    </row>
    <row r="18" spans="1:7" x14ac:dyDescent="0.3">
      <c r="A18" s="11" t="s">
        <v>11</v>
      </c>
      <c r="B18" s="12"/>
      <c r="C18" s="12"/>
      <c r="D18" s="12"/>
      <c r="E18" s="12"/>
      <c r="F18" s="12"/>
      <c r="G18" s="12"/>
    </row>
    <row r="19" spans="1:7" x14ac:dyDescent="0.3">
      <c r="A19" s="12"/>
      <c r="B19" s="12"/>
      <c r="C19" s="12"/>
      <c r="D19" s="12"/>
      <c r="E19" s="12"/>
      <c r="F19" s="12"/>
      <c r="G19" s="12"/>
    </row>
    <row r="20" spans="1:7" x14ac:dyDescent="0.3">
      <c r="A20" s="12"/>
      <c r="B20" s="12"/>
      <c r="C20" s="12"/>
      <c r="D20" s="12"/>
      <c r="E20" s="12"/>
      <c r="F20" s="12"/>
      <c r="G20" s="12"/>
    </row>
    <row r="21" spans="1:7" x14ac:dyDescent="0.3">
      <c r="A21" s="12"/>
      <c r="B21" s="12"/>
      <c r="C21" s="12"/>
      <c r="D21" s="12"/>
      <c r="E21" s="12"/>
      <c r="F21" s="12"/>
      <c r="G21" s="12"/>
    </row>
    <row r="22" spans="1:7" x14ac:dyDescent="0.3">
      <c r="A22" s="12"/>
      <c r="B22" s="12"/>
      <c r="C22" s="12"/>
      <c r="D22" s="12"/>
      <c r="E22" s="12"/>
      <c r="F22" s="12"/>
      <c r="G22" s="12"/>
    </row>
    <row r="23" spans="1:7" x14ac:dyDescent="0.3">
      <c r="A23" s="12"/>
      <c r="B23" s="12"/>
      <c r="C23" s="12"/>
      <c r="D23" s="12"/>
      <c r="E23" s="12"/>
      <c r="F23" s="12"/>
      <c r="G23" s="12"/>
    </row>
    <row r="24" spans="1:7" x14ac:dyDescent="0.3">
      <c r="A24" s="12"/>
      <c r="B24" s="12"/>
      <c r="C24" s="12"/>
      <c r="D24" s="12"/>
      <c r="E24" s="12"/>
      <c r="F24" s="12"/>
      <c r="G24" s="12"/>
    </row>
    <row r="25" spans="1:7" x14ac:dyDescent="0.3">
      <c r="A25" s="12"/>
      <c r="B25" s="12"/>
      <c r="C25" s="12"/>
      <c r="D25" s="12"/>
      <c r="E25" s="12"/>
      <c r="F25" s="12"/>
      <c r="G25" s="12"/>
    </row>
    <row r="26" spans="1:7" x14ac:dyDescent="0.3">
      <c r="A26" s="12"/>
      <c r="B26" s="12"/>
      <c r="C26" s="12"/>
      <c r="D26" s="12"/>
      <c r="E26" s="12"/>
      <c r="F26" s="12"/>
      <c r="G26" s="12"/>
    </row>
    <row r="27" spans="1:7" x14ac:dyDescent="0.3">
      <c r="A27" s="12"/>
      <c r="B27" s="12"/>
      <c r="C27" s="12"/>
      <c r="D27" s="12"/>
      <c r="E27" s="12"/>
      <c r="F27" s="12"/>
      <c r="G27" s="12"/>
    </row>
    <row r="28" spans="1:7" x14ac:dyDescent="0.3">
      <c r="A28" s="12"/>
      <c r="B28" s="12"/>
      <c r="C28" s="12"/>
      <c r="D28" s="12"/>
      <c r="E28" s="12"/>
      <c r="F28" s="12"/>
      <c r="G28" s="12"/>
    </row>
    <row r="29" spans="1:7" x14ac:dyDescent="0.3">
      <c r="A29" s="12"/>
      <c r="B29" s="12"/>
      <c r="C29" s="12"/>
      <c r="D29" s="12"/>
      <c r="E29" s="12"/>
      <c r="F29" s="12"/>
      <c r="G29" s="12"/>
    </row>
    <row r="30" spans="1:7" x14ac:dyDescent="0.3">
      <c r="A30" s="12"/>
      <c r="B30" s="12"/>
      <c r="C30" s="12"/>
      <c r="D30" s="12"/>
      <c r="E30" s="12"/>
      <c r="F30" s="12"/>
      <c r="G30" s="12"/>
    </row>
    <row r="31" spans="1:7" x14ac:dyDescent="0.3">
      <c r="A31" s="12"/>
      <c r="B31" s="12"/>
      <c r="C31" s="12"/>
      <c r="D31" s="12"/>
      <c r="E31" s="12"/>
      <c r="F31" s="12"/>
      <c r="G31" s="12"/>
    </row>
    <row r="32" spans="1:7" x14ac:dyDescent="0.3">
      <c r="A32" s="12"/>
      <c r="B32" s="12"/>
      <c r="C32" s="12"/>
      <c r="D32" s="12"/>
      <c r="E32" s="12"/>
      <c r="F32" s="12"/>
      <c r="G32" s="12"/>
    </row>
    <row r="33" spans="1:7" x14ac:dyDescent="0.3">
      <c r="A33" s="12"/>
      <c r="B33" s="12"/>
      <c r="C33" s="12"/>
      <c r="D33" s="12"/>
      <c r="E33" s="12"/>
      <c r="F33" s="12"/>
      <c r="G33" s="12"/>
    </row>
    <row r="34" spans="1:7" x14ac:dyDescent="0.3">
      <c r="A34" s="12"/>
      <c r="B34" s="12"/>
      <c r="C34" s="12"/>
      <c r="D34" s="12"/>
      <c r="E34" s="12"/>
      <c r="F34" s="12"/>
      <c r="G34" s="12"/>
    </row>
    <row r="35" spans="1:7" x14ac:dyDescent="0.3">
      <c r="A35" s="12"/>
      <c r="B35" s="12"/>
      <c r="C35" s="12"/>
      <c r="D35" s="12"/>
      <c r="E35" s="12"/>
      <c r="F35" s="12"/>
      <c r="G35" s="12"/>
    </row>
    <row r="36" spans="1:7" x14ac:dyDescent="0.3">
      <c r="A36" s="12"/>
      <c r="B36" s="12"/>
      <c r="C36" s="12"/>
      <c r="D36" s="12"/>
      <c r="E36" s="12"/>
      <c r="F36" s="12"/>
      <c r="G36" s="12"/>
    </row>
    <row r="37" spans="1:7" x14ac:dyDescent="0.3">
      <c r="A37" s="12"/>
      <c r="B37" s="12"/>
      <c r="C37" s="12"/>
      <c r="D37" s="12"/>
      <c r="E37" s="12"/>
      <c r="F37" s="12"/>
      <c r="G37" s="12"/>
    </row>
    <row r="38" spans="1:7" x14ac:dyDescent="0.3">
      <c r="A38" s="12"/>
      <c r="B38" s="12"/>
      <c r="C38" s="12"/>
      <c r="D38" s="12"/>
      <c r="E38" s="12"/>
      <c r="F38" s="12"/>
      <c r="G38" s="12"/>
    </row>
  </sheetData>
  <mergeCells count="2">
    <mergeCell ref="A18:G38"/>
    <mergeCell ref="B12:C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2026-07-11T17:07:21Z</dcterms:modified>
</cp:coreProperties>
</file>