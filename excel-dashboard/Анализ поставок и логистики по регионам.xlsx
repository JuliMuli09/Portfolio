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katerina Dzhulay\Desktop\"/>
    </mc:Choice>
  </mc:AlternateContent>
  <xr:revisionPtr revIDLastSave="0" documentId="8_{CAE8CA45-0D56-4649-9BD3-1ACEE716E3D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Юг" sheetId="1" r:id="rId1"/>
    <sheet name="Север" sheetId="2" r:id="rId2"/>
    <sheet name="Запад" sheetId="3" r:id="rId3"/>
    <sheet name="Восток" sheetId="4" r:id="rId4"/>
    <sheet name="Для сводной" sheetId="5" r:id="rId5"/>
    <sheet name="Поставщики" sheetId="6" r:id="rId6"/>
    <sheet name="Яблоки" sheetId="7" r:id="rId7"/>
  </sheets>
  <definedNames>
    <definedName name="БазаВосток">#REF!</definedName>
    <definedName name="БазаЗапад">Запад!$A$2:$J$31</definedName>
    <definedName name="БазаСевер">#REF!</definedName>
    <definedName name="БазаЮг">Юг!$A$2:$J$31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E31" i="4"/>
  <c r="D31" i="4"/>
  <c r="J30" i="4"/>
  <c r="E30" i="4"/>
  <c r="D30" i="4"/>
  <c r="J29" i="4"/>
  <c r="E29" i="4"/>
  <c r="D29" i="4"/>
  <c r="J28" i="4"/>
  <c r="E28" i="4"/>
  <c r="D28" i="4"/>
  <c r="J27" i="4"/>
  <c r="E27" i="4"/>
  <c r="D27" i="4"/>
  <c r="J26" i="4"/>
  <c r="E26" i="4"/>
  <c r="D26" i="4"/>
  <c r="J25" i="4"/>
  <c r="E25" i="4"/>
  <c r="D25" i="4"/>
  <c r="J24" i="4"/>
  <c r="E24" i="4"/>
  <c r="D24" i="4"/>
  <c r="J23" i="4"/>
  <c r="E23" i="4"/>
  <c r="D23" i="4"/>
  <c r="J22" i="4"/>
  <c r="E22" i="4"/>
  <c r="D22" i="4"/>
  <c r="J21" i="4"/>
  <c r="E21" i="4"/>
  <c r="D21" i="4"/>
  <c r="J20" i="4"/>
  <c r="E20" i="4"/>
  <c r="D20" i="4"/>
  <c r="J19" i="4"/>
  <c r="E19" i="4"/>
  <c r="D19" i="4"/>
  <c r="J18" i="4"/>
  <c r="E18" i="4"/>
  <c r="D18" i="4"/>
  <c r="J17" i="4"/>
  <c r="E17" i="4"/>
  <c r="D17" i="4"/>
  <c r="J16" i="4"/>
  <c r="E16" i="4"/>
  <c r="D16" i="4"/>
  <c r="J15" i="4"/>
  <c r="E15" i="4"/>
  <c r="D15" i="4"/>
  <c r="J14" i="4"/>
  <c r="E14" i="4"/>
  <c r="D14" i="4"/>
  <c r="J13" i="4"/>
  <c r="E13" i="4"/>
  <c r="D13" i="4"/>
  <c r="J12" i="4"/>
  <c r="E12" i="4"/>
  <c r="D12" i="4"/>
  <c r="J11" i="4"/>
  <c r="E11" i="4"/>
  <c r="D11" i="4"/>
  <c r="J10" i="4"/>
  <c r="E10" i="4"/>
  <c r="D10" i="4"/>
  <c r="J9" i="4"/>
  <c r="E9" i="4"/>
  <c r="D9" i="4"/>
  <c r="J8" i="4"/>
  <c r="E8" i="4"/>
  <c r="D8" i="4"/>
  <c r="J7" i="4"/>
  <c r="E7" i="4"/>
  <c r="D7" i="4"/>
  <c r="J6" i="4"/>
  <c r="E6" i="4"/>
  <c r="D6" i="4"/>
  <c r="J5" i="4"/>
  <c r="E5" i="4"/>
  <c r="D5" i="4"/>
  <c r="J4" i="4"/>
  <c r="E4" i="4"/>
  <c r="D4" i="4"/>
  <c r="J3" i="4"/>
  <c r="E3" i="4"/>
  <c r="D3" i="4"/>
  <c r="J2" i="4"/>
  <c r="E2" i="4"/>
  <c r="D2" i="4"/>
  <c r="J31" i="3"/>
  <c r="E31" i="3"/>
  <c r="D31" i="3"/>
  <c r="J30" i="3"/>
  <c r="E30" i="3"/>
  <c r="D30" i="3"/>
  <c r="J29" i="3"/>
  <c r="E29" i="3"/>
  <c r="D29" i="3"/>
  <c r="J28" i="3"/>
  <c r="E28" i="3"/>
  <c r="D28" i="3"/>
  <c r="J27" i="3"/>
  <c r="E27" i="3"/>
  <c r="D27" i="3"/>
  <c r="J26" i="3"/>
  <c r="E26" i="3"/>
  <c r="D26" i="3"/>
  <c r="J25" i="3"/>
  <c r="E25" i="3"/>
  <c r="D25" i="3"/>
  <c r="J24" i="3"/>
  <c r="E24" i="3"/>
  <c r="D24" i="3"/>
  <c r="J23" i="3"/>
  <c r="E23" i="3"/>
  <c r="D23" i="3"/>
  <c r="J22" i="3"/>
  <c r="E22" i="3"/>
  <c r="D22" i="3"/>
  <c r="J21" i="3"/>
  <c r="E21" i="3"/>
  <c r="D21" i="3"/>
  <c r="J20" i="3"/>
  <c r="E20" i="3"/>
  <c r="D20" i="3"/>
  <c r="J19" i="3"/>
  <c r="E19" i="3"/>
  <c r="D19" i="3"/>
  <c r="J18" i="3"/>
  <c r="E18" i="3"/>
  <c r="D18" i="3"/>
  <c r="J17" i="3"/>
  <c r="E17" i="3"/>
  <c r="D17" i="3"/>
  <c r="J16" i="3"/>
  <c r="E16" i="3"/>
  <c r="D16" i="3"/>
  <c r="J15" i="3"/>
  <c r="E15" i="3"/>
  <c r="D15" i="3"/>
  <c r="J14" i="3"/>
  <c r="E14" i="3"/>
  <c r="D14" i="3"/>
  <c r="J13" i="3"/>
  <c r="E13" i="3"/>
  <c r="D13" i="3"/>
  <c r="J12" i="3"/>
  <c r="E12" i="3"/>
  <c r="D12" i="3"/>
  <c r="J11" i="3"/>
  <c r="E11" i="3"/>
  <c r="D11" i="3"/>
  <c r="J10" i="3"/>
  <c r="E10" i="3"/>
  <c r="D10" i="3"/>
  <c r="J9" i="3"/>
  <c r="E9" i="3"/>
  <c r="D9" i="3"/>
  <c r="J8" i="3"/>
  <c r="E8" i="3"/>
  <c r="D8" i="3"/>
  <c r="J7" i="3"/>
  <c r="E7" i="3"/>
  <c r="D7" i="3"/>
  <c r="J6" i="3"/>
  <c r="E6" i="3"/>
  <c r="D6" i="3"/>
  <c r="J5" i="3"/>
  <c r="E5" i="3"/>
  <c r="D5" i="3"/>
  <c r="J4" i="3"/>
  <c r="E4" i="3"/>
  <c r="D4" i="3"/>
  <c r="J3" i="3"/>
  <c r="E3" i="3"/>
  <c r="D3" i="3"/>
  <c r="J2" i="3"/>
  <c r="E2" i="3"/>
  <c r="D2" i="3"/>
  <c r="J31" i="2"/>
  <c r="E31" i="2"/>
  <c r="D31" i="2"/>
  <c r="J30" i="2"/>
  <c r="E30" i="2"/>
  <c r="D30" i="2"/>
  <c r="J29" i="2"/>
  <c r="E29" i="2"/>
  <c r="D29" i="2"/>
  <c r="J28" i="2"/>
  <c r="E28" i="2"/>
  <c r="D28" i="2"/>
  <c r="J27" i="2"/>
  <c r="E27" i="2"/>
  <c r="D27" i="2"/>
  <c r="J26" i="2"/>
  <c r="E26" i="2"/>
  <c r="D26" i="2"/>
  <c r="J25" i="2"/>
  <c r="E25" i="2"/>
  <c r="D25" i="2"/>
  <c r="J24" i="2"/>
  <c r="E24" i="2"/>
  <c r="D24" i="2"/>
  <c r="J23" i="2"/>
  <c r="E23" i="2"/>
  <c r="D23" i="2"/>
  <c r="J22" i="2"/>
  <c r="E22" i="2"/>
  <c r="D22" i="2"/>
  <c r="J21" i="2"/>
  <c r="E21" i="2"/>
  <c r="D21" i="2"/>
  <c r="J20" i="2"/>
  <c r="E20" i="2"/>
  <c r="D20" i="2"/>
  <c r="J19" i="2"/>
  <c r="E19" i="2"/>
  <c r="D19" i="2"/>
  <c r="J18" i="2"/>
  <c r="E18" i="2"/>
  <c r="D18" i="2"/>
  <c r="J17" i="2"/>
  <c r="E17" i="2"/>
  <c r="D17" i="2"/>
  <c r="J16" i="2"/>
  <c r="E16" i="2"/>
  <c r="D16" i="2"/>
  <c r="J15" i="2"/>
  <c r="E15" i="2"/>
  <c r="D15" i="2"/>
  <c r="J14" i="2"/>
  <c r="E14" i="2"/>
  <c r="D14" i="2"/>
  <c r="J13" i="2"/>
  <c r="E13" i="2"/>
  <c r="D13" i="2"/>
  <c r="J12" i="2"/>
  <c r="E12" i="2"/>
  <c r="D12" i="2"/>
  <c r="J11" i="2"/>
  <c r="E11" i="2"/>
  <c r="D11" i="2"/>
  <c r="J10" i="2"/>
  <c r="E10" i="2"/>
  <c r="D10" i="2"/>
  <c r="J9" i="2"/>
  <c r="E9" i="2"/>
  <c r="D9" i="2"/>
  <c r="J8" i="2"/>
  <c r="E8" i="2"/>
  <c r="D8" i="2"/>
  <c r="J7" i="2"/>
  <c r="E7" i="2"/>
  <c r="D7" i="2"/>
  <c r="J6" i="2"/>
  <c r="E6" i="2"/>
  <c r="D6" i="2"/>
  <c r="J5" i="2"/>
  <c r="E5" i="2"/>
  <c r="D5" i="2"/>
  <c r="J4" i="2"/>
  <c r="E4" i="2"/>
  <c r="D4" i="2"/>
  <c r="J3" i="2"/>
  <c r="E3" i="2"/>
  <c r="D3" i="2"/>
  <c r="J2" i="2"/>
  <c r="E2" i="2"/>
  <c r="D2" i="2"/>
  <c r="J31" i="1"/>
  <c r="E31" i="1"/>
  <c r="D31" i="1"/>
  <c r="J30" i="1"/>
  <c r="E30" i="1"/>
  <c r="D30" i="1"/>
  <c r="J29" i="1"/>
  <c r="E29" i="1"/>
  <c r="D29" i="1"/>
  <c r="J28" i="1"/>
  <c r="E28" i="1"/>
  <c r="D28" i="1"/>
  <c r="J27" i="1"/>
  <c r="E27" i="1"/>
  <c r="D27" i="1"/>
  <c r="J26" i="1"/>
  <c r="E26" i="1"/>
  <c r="D26" i="1"/>
  <c r="J25" i="1"/>
  <c r="E25" i="1"/>
  <c r="D25" i="1"/>
  <c r="J24" i="1"/>
  <c r="E24" i="1"/>
  <c r="D24" i="1"/>
  <c r="J23" i="1"/>
  <c r="E23" i="1"/>
  <c r="D23" i="1"/>
  <c r="J22" i="1"/>
  <c r="E22" i="1"/>
  <c r="D22" i="1"/>
  <c r="J21" i="1"/>
  <c r="E21" i="1"/>
  <c r="D21" i="1"/>
  <c r="J20" i="1"/>
  <c r="E20" i="1"/>
  <c r="D20" i="1"/>
  <c r="J19" i="1"/>
  <c r="E19" i="1"/>
  <c r="D19" i="1"/>
  <c r="J18" i="1"/>
  <c r="E18" i="1"/>
  <c r="D18" i="1"/>
  <c r="J17" i="1"/>
  <c r="E17" i="1"/>
  <c r="D17" i="1"/>
  <c r="J16" i="1"/>
  <c r="E16" i="1"/>
  <c r="D16" i="1"/>
  <c r="J15" i="1"/>
  <c r="E15" i="1"/>
  <c r="D15" i="1"/>
  <c r="J14" i="1"/>
  <c r="E14" i="1"/>
  <c r="D14" i="1"/>
  <c r="J13" i="1"/>
  <c r="E13" i="1"/>
  <c r="D13" i="1"/>
  <c r="J12" i="1"/>
  <c r="E12" i="1"/>
  <c r="D12" i="1"/>
  <c r="J11" i="1"/>
  <c r="E11" i="1"/>
  <c r="D11" i="1"/>
  <c r="J10" i="1"/>
  <c r="E10" i="1"/>
  <c r="D10" i="1"/>
  <c r="J9" i="1"/>
  <c r="E9" i="1"/>
  <c r="D9" i="1"/>
  <c r="J8" i="1"/>
  <c r="E8" i="1"/>
  <c r="D8" i="1"/>
  <c r="J7" i="1"/>
  <c r="E7" i="1"/>
  <c r="D7" i="1"/>
  <c r="J6" i="1"/>
  <c r="E6" i="1"/>
  <c r="D6" i="1"/>
  <c r="J5" i="1"/>
  <c r="E5" i="1"/>
  <c r="D5" i="1"/>
  <c r="J4" i="1"/>
  <c r="E4" i="1"/>
  <c r="D4" i="1"/>
  <c r="J3" i="1"/>
  <c r="E3" i="1"/>
  <c r="D3" i="1"/>
  <c r="J2" i="1"/>
  <c r="E2" i="1"/>
  <c r="D2" i="1"/>
  <c r="K121" i="5"/>
  <c r="J121" i="5"/>
  <c r="I121" i="5"/>
  <c r="H121" i="5"/>
  <c r="G121" i="5"/>
  <c r="F121" i="5"/>
  <c r="E121" i="5"/>
  <c r="D121" i="5"/>
  <c r="L121" i="5" s="1"/>
  <c r="C121" i="5"/>
  <c r="B121" i="5"/>
  <c r="A121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K118" i="5"/>
  <c r="J118" i="5"/>
  <c r="I118" i="5"/>
  <c r="H118" i="5"/>
  <c r="G118" i="5"/>
  <c r="F118" i="5"/>
  <c r="E118" i="5"/>
  <c r="D118" i="5"/>
  <c r="L118" i="5" s="1"/>
  <c r="C118" i="5"/>
  <c r="B118" i="5"/>
  <c r="A118" i="5"/>
  <c r="K117" i="5"/>
  <c r="J117" i="5"/>
  <c r="I117" i="5"/>
  <c r="H117" i="5"/>
  <c r="G117" i="5"/>
  <c r="F117" i="5"/>
  <c r="E117" i="5"/>
  <c r="D117" i="5"/>
  <c r="L117" i="5" s="1"/>
  <c r="C117" i="5"/>
  <c r="B117" i="5"/>
  <c r="A117" i="5"/>
  <c r="K116" i="5"/>
  <c r="J116" i="5"/>
  <c r="I116" i="5"/>
  <c r="H116" i="5"/>
  <c r="G116" i="5"/>
  <c r="F116" i="5"/>
  <c r="E116" i="5"/>
  <c r="D116" i="5"/>
  <c r="L116" i="5" s="1"/>
  <c r="C116" i="5"/>
  <c r="B116" i="5"/>
  <c r="A116" i="5"/>
  <c r="K115" i="5"/>
  <c r="J115" i="5"/>
  <c r="I115" i="5"/>
  <c r="H115" i="5"/>
  <c r="G115" i="5"/>
  <c r="F115" i="5"/>
  <c r="E115" i="5"/>
  <c r="D115" i="5"/>
  <c r="L115" i="5" s="1"/>
  <c r="C115" i="5"/>
  <c r="B115" i="5"/>
  <c r="A115" i="5"/>
  <c r="K114" i="5"/>
  <c r="J114" i="5"/>
  <c r="I114" i="5"/>
  <c r="H114" i="5"/>
  <c r="G114" i="5"/>
  <c r="F114" i="5"/>
  <c r="E114" i="5"/>
  <c r="D114" i="5"/>
  <c r="L114" i="5" s="1"/>
  <c r="C114" i="5"/>
  <c r="B114" i="5"/>
  <c r="A114" i="5"/>
  <c r="K113" i="5"/>
  <c r="J113" i="5"/>
  <c r="I113" i="5"/>
  <c r="H113" i="5"/>
  <c r="G113" i="5"/>
  <c r="F113" i="5"/>
  <c r="E113" i="5"/>
  <c r="D113" i="5"/>
  <c r="L113" i="5" s="1"/>
  <c r="C113" i="5"/>
  <c r="B113" i="5"/>
  <c r="A113" i="5"/>
  <c r="K112" i="5"/>
  <c r="J112" i="5"/>
  <c r="I112" i="5"/>
  <c r="H112" i="5"/>
  <c r="G112" i="5"/>
  <c r="F112" i="5"/>
  <c r="E112" i="5"/>
  <c r="D112" i="5"/>
  <c r="L112" i="5" s="1"/>
  <c r="C112" i="5"/>
  <c r="B112" i="5"/>
  <c r="A112" i="5"/>
  <c r="K111" i="5"/>
  <c r="J111" i="5"/>
  <c r="I111" i="5"/>
  <c r="H111" i="5"/>
  <c r="G111" i="5"/>
  <c r="F111" i="5"/>
  <c r="E111" i="5"/>
  <c r="D111" i="5"/>
  <c r="L111" i="5" s="1"/>
  <c r="C111" i="5"/>
  <c r="B111" i="5"/>
  <c r="A111" i="5"/>
  <c r="K110" i="5"/>
  <c r="J110" i="5"/>
  <c r="I110" i="5"/>
  <c r="H110" i="5"/>
  <c r="G110" i="5"/>
  <c r="F110" i="5"/>
  <c r="E110" i="5"/>
  <c r="D110" i="5"/>
  <c r="L110" i="5" s="1"/>
  <c r="C110" i="5"/>
  <c r="B110" i="5"/>
  <c r="A110" i="5"/>
  <c r="K109" i="5"/>
  <c r="J109" i="5"/>
  <c r="I109" i="5"/>
  <c r="H109" i="5"/>
  <c r="G109" i="5"/>
  <c r="F109" i="5"/>
  <c r="E109" i="5"/>
  <c r="D109" i="5"/>
  <c r="L109" i="5" s="1"/>
  <c r="C109" i="5"/>
  <c r="B109" i="5"/>
  <c r="A109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K107" i="5"/>
  <c r="J107" i="5"/>
  <c r="I107" i="5"/>
  <c r="H107" i="5"/>
  <c r="G107" i="5"/>
  <c r="F107" i="5"/>
  <c r="E107" i="5"/>
  <c r="D107" i="5"/>
  <c r="L107" i="5" s="1"/>
  <c r="C107" i="5"/>
  <c r="B107" i="5"/>
  <c r="A107" i="5"/>
  <c r="K106" i="5"/>
  <c r="J106" i="5"/>
  <c r="I106" i="5"/>
  <c r="H106" i="5"/>
  <c r="G106" i="5"/>
  <c r="F106" i="5"/>
  <c r="E106" i="5"/>
  <c r="D106" i="5"/>
  <c r="L106" i="5" s="1"/>
  <c r="C106" i="5"/>
  <c r="B106" i="5"/>
  <c r="A106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K104" i="5"/>
  <c r="J104" i="5"/>
  <c r="I104" i="5"/>
  <c r="H104" i="5"/>
  <c r="G104" i="5"/>
  <c r="F104" i="5"/>
  <c r="E104" i="5"/>
  <c r="D104" i="5"/>
  <c r="L104" i="5" s="1"/>
  <c r="C104" i="5"/>
  <c r="B104" i="5"/>
  <c r="A104" i="5"/>
  <c r="K103" i="5"/>
  <c r="J103" i="5"/>
  <c r="I103" i="5"/>
  <c r="H103" i="5"/>
  <c r="G103" i="5"/>
  <c r="F103" i="5"/>
  <c r="E103" i="5"/>
  <c r="D103" i="5"/>
  <c r="L103" i="5" s="1"/>
  <c r="C103" i="5"/>
  <c r="B103" i="5"/>
  <c r="A103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K100" i="5"/>
  <c r="J100" i="5"/>
  <c r="I100" i="5"/>
  <c r="H100" i="5"/>
  <c r="G100" i="5"/>
  <c r="F100" i="5"/>
  <c r="E100" i="5"/>
  <c r="D100" i="5"/>
  <c r="L100" i="5" s="1"/>
  <c r="C100" i="5"/>
  <c r="B100" i="5"/>
  <c r="A100" i="5"/>
  <c r="K99" i="5"/>
  <c r="J99" i="5"/>
  <c r="I99" i="5"/>
  <c r="H99" i="5"/>
  <c r="G99" i="5"/>
  <c r="F99" i="5"/>
  <c r="E99" i="5"/>
  <c r="D99" i="5"/>
  <c r="L99" i="5" s="1"/>
  <c r="C99" i="5"/>
  <c r="B99" i="5"/>
  <c r="A99" i="5"/>
  <c r="L98" i="5"/>
  <c r="K98" i="5"/>
  <c r="J98" i="5"/>
  <c r="I98" i="5"/>
  <c r="H98" i="5"/>
  <c r="G98" i="5"/>
  <c r="F98" i="5"/>
  <c r="E98" i="5"/>
  <c r="D98" i="5"/>
  <c r="C98" i="5"/>
  <c r="B98" i="5"/>
  <c r="A98" i="5"/>
  <c r="K97" i="5"/>
  <c r="J97" i="5"/>
  <c r="I97" i="5"/>
  <c r="H97" i="5"/>
  <c r="G97" i="5"/>
  <c r="F97" i="5"/>
  <c r="E97" i="5"/>
  <c r="D97" i="5"/>
  <c r="L97" i="5" s="1"/>
  <c r="C97" i="5"/>
  <c r="B97" i="5"/>
  <c r="A97" i="5"/>
  <c r="L96" i="5"/>
  <c r="K96" i="5"/>
  <c r="J96" i="5"/>
  <c r="I96" i="5"/>
  <c r="H96" i="5"/>
  <c r="G96" i="5"/>
  <c r="F96" i="5"/>
  <c r="E96" i="5"/>
  <c r="D96" i="5"/>
  <c r="C96" i="5"/>
  <c r="B96" i="5"/>
  <c r="A96" i="5"/>
  <c r="K95" i="5"/>
  <c r="J95" i="5"/>
  <c r="I95" i="5"/>
  <c r="H95" i="5"/>
  <c r="G95" i="5"/>
  <c r="F95" i="5"/>
  <c r="E95" i="5"/>
  <c r="D95" i="5"/>
  <c r="L95" i="5" s="1"/>
  <c r="C95" i="5"/>
  <c r="B95" i="5"/>
  <c r="A95" i="5"/>
  <c r="L94" i="5"/>
  <c r="K94" i="5"/>
  <c r="J94" i="5"/>
  <c r="I94" i="5"/>
  <c r="H94" i="5"/>
  <c r="G94" i="5"/>
  <c r="F94" i="5"/>
  <c r="E94" i="5"/>
  <c r="D94" i="5"/>
  <c r="C94" i="5"/>
  <c r="B94" i="5"/>
  <c r="A94" i="5"/>
  <c r="K93" i="5"/>
  <c r="J93" i="5"/>
  <c r="I93" i="5"/>
  <c r="H93" i="5"/>
  <c r="G93" i="5"/>
  <c r="F93" i="5"/>
  <c r="E93" i="5"/>
  <c r="D93" i="5"/>
  <c r="L93" i="5" s="1"/>
  <c r="C93" i="5"/>
  <c r="B93" i="5"/>
  <c r="A93" i="5"/>
  <c r="K92" i="5"/>
  <c r="J92" i="5"/>
  <c r="I92" i="5"/>
  <c r="H92" i="5"/>
  <c r="G92" i="5"/>
  <c r="F92" i="5"/>
  <c r="E92" i="5"/>
  <c r="D92" i="5"/>
  <c r="L92" i="5" s="1"/>
  <c r="C92" i="5"/>
  <c r="B92" i="5"/>
  <c r="A92" i="5"/>
  <c r="K91" i="5"/>
  <c r="J91" i="5"/>
  <c r="I91" i="5"/>
  <c r="H91" i="5"/>
  <c r="G91" i="5"/>
  <c r="F91" i="5"/>
  <c r="E91" i="5"/>
  <c r="D91" i="5"/>
  <c r="L91" i="5" s="1"/>
  <c r="C91" i="5"/>
  <c r="B91" i="5"/>
  <c r="A91" i="5"/>
  <c r="K90" i="5"/>
  <c r="J90" i="5"/>
  <c r="I90" i="5"/>
  <c r="H90" i="5"/>
  <c r="G90" i="5"/>
  <c r="F90" i="5"/>
  <c r="E90" i="5"/>
  <c r="D90" i="5"/>
  <c r="L90" i="5" s="1"/>
  <c r="C90" i="5"/>
  <c r="B90" i="5"/>
  <c r="A90" i="5"/>
  <c r="K89" i="5"/>
  <c r="J89" i="5"/>
  <c r="I89" i="5"/>
  <c r="H89" i="5"/>
  <c r="G89" i="5"/>
  <c r="F89" i="5"/>
  <c r="E89" i="5"/>
  <c r="D89" i="5"/>
  <c r="L89" i="5" s="1"/>
  <c r="C89" i="5"/>
  <c r="B89" i="5"/>
  <c r="A89" i="5"/>
  <c r="K88" i="5"/>
  <c r="J88" i="5"/>
  <c r="I88" i="5"/>
  <c r="H88" i="5"/>
  <c r="G88" i="5"/>
  <c r="F88" i="5"/>
  <c r="E88" i="5"/>
  <c r="D88" i="5"/>
  <c r="L88" i="5" s="1"/>
  <c r="C88" i="5"/>
  <c r="B88" i="5"/>
  <c r="A88" i="5"/>
  <c r="K87" i="5"/>
  <c r="J87" i="5"/>
  <c r="I87" i="5"/>
  <c r="H87" i="5"/>
  <c r="G87" i="5"/>
  <c r="F87" i="5"/>
  <c r="E87" i="5"/>
  <c r="D87" i="5"/>
  <c r="L87" i="5" s="1"/>
  <c r="C87" i="5"/>
  <c r="B87" i="5"/>
  <c r="A87" i="5"/>
  <c r="K86" i="5"/>
  <c r="J86" i="5"/>
  <c r="I86" i="5"/>
  <c r="H86" i="5"/>
  <c r="G86" i="5"/>
  <c r="F86" i="5"/>
  <c r="E86" i="5"/>
  <c r="D86" i="5"/>
  <c r="L86" i="5" s="1"/>
  <c r="C86" i="5"/>
  <c r="B86" i="5"/>
  <c r="A86" i="5"/>
  <c r="K85" i="5"/>
  <c r="J85" i="5"/>
  <c r="I85" i="5"/>
  <c r="H85" i="5"/>
  <c r="G85" i="5"/>
  <c r="F85" i="5"/>
  <c r="E85" i="5"/>
  <c r="D85" i="5"/>
  <c r="L85" i="5" s="1"/>
  <c r="C85" i="5"/>
  <c r="B85" i="5"/>
  <c r="A85" i="5"/>
  <c r="K84" i="5"/>
  <c r="J84" i="5"/>
  <c r="I84" i="5"/>
  <c r="H84" i="5"/>
  <c r="G84" i="5"/>
  <c r="F84" i="5"/>
  <c r="E84" i="5"/>
  <c r="D84" i="5"/>
  <c r="L84" i="5" s="1"/>
  <c r="C84" i="5"/>
  <c r="B84" i="5"/>
  <c r="A84" i="5"/>
  <c r="K83" i="5"/>
  <c r="J83" i="5"/>
  <c r="I83" i="5"/>
  <c r="H83" i="5"/>
  <c r="G83" i="5"/>
  <c r="F83" i="5"/>
  <c r="E83" i="5"/>
  <c r="D83" i="5"/>
  <c r="L83" i="5" s="1"/>
  <c r="C83" i="5"/>
  <c r="B83" i="5"/>
  <c r="A83" i="5"/>
  <c r="K82" i="5"/>
  <c r="J82" i="5"/>
  <c r="I82" i="5"/>
  <c r="H82" i="5"/>
  <c r="G82" i="5"/>
  <c r="F82" i="5"/>
  <c r="E82" i="5"/>
  <c r="D82" i="5"/>
  <c r="L82" i="5" s="1"/>
  <c r="C82" i="5"/>
  <c r="B82" i="5"/>
  <c r="A82" i="5"/>
  <c r="K81" i="5"/>
  <c r="J81" i="5"/>
  <c r="I81" i="5"/>
  <c r="H81" i="5"/>
  <c r="G81" i="5"/>
  <c r="F81" i="5"/>
  <c r="E81" i="5"/>
  <c r="D81" i="5"/>
  <c r="L81" i="5" s="1"/>
  <c r="C81" i="5"/>
  <c r="B81" i="5"/>
  <c r="A81" i="5"/>
  <c r="L80" i="5"/>
  <c r="K80" i="5"/>
  <c r="J80" i="5"/>
  <c r="I80" i="5"/>
  <c r="H80" i="5"/>
  <c r="G80" i="5"/>
  <c r="F80" i="5"/>
  <c r="E80" i="5"/>
  <c r="D80" i="5"/>
  <c r="C80" i="5"/>
  <c r="B80" i="5"/>
  <c r="A80" i="5"/>
  <c r="L79" i="5"/>
  <c r="K79" i="5"/>
  <c r="J79" i="5"/>
  <c r="I79" i="5"/>
  <c r="H79" i="5"/>
  <c r="G79" i="5"/>
  <c r="F79" i="5"/>
  <c r="E79" i="5"/>
  <c r="D79" i="5"/>
  <c r="C79" i="5"/>
  <c r="B79" i="5"/>
  <c r="A79" i="5"/>
  <c r="K78" i="5"/>
  <c r="J78" i="5"/>
  <c r="I78" i="5"/>
  <c r="H78" i="5"/>
  <c r="G78" i="5"/>
  <c r="F78" i="5"/>
  <c r="E78" i="5"/>
  <c r="D78" i="5"/>
  <c r="L78" i="5" s="1"/>
  <c r="C78" i="5"/>
  <c r="B78" i="5"/>
  <c r="A78" i="5"/>
  <c r="K77" i="5"/>
  <c r="J77" i="5"/>
  <c r="I77" i="5"/>
  <c r="H77" i="5"/>
  <c r="G77" i="5"/>
  <c r="F77" i="5"/>
  <c r="E77" i="5"/>
  <c r="D77" i="5"/>
  <c r="L77" i="5" s="1"/>
  <c r="C77" i="5"/>
  <c r="B77" i="5"/>
  <c r="A77" i="5"/>
  <c r="L76" i="5"/>
  <c r="K76" i="5"/>
  <c r="J76" i="5"/>
  <c r="I76" i="5"/>
  <c r="H76" i="5"/>
  <c r="G76" i="5"/>
  <c r="F76" i="5"/>
  <c r="E76" i="5"/>
  <c r="D76" i="5"/>
  <c r="C76" i="5"/>
  <c r="B76" i="5"/>
  <c r="A76" i="5"/>
  <c r="L75" i="5"/>
  <c r="K75" i="5"/>
  <c r="J75" i="5"/>
  <c r="I75" i="5"/>
  <c r="H75" i="5"/>
  <c r="G75" i="5"/>
  <c r="F75" i="5"/>
  <c r="E75" i="5"/>
  <c r="D75" i="5"/>
  <c r="C75" i="5"/>
  <c r="B75" i="5"/>
  <c r="A75" i="5"/>
  <c r="K74" i="5"/>
  <c r="J74" i="5"/>
  <c r="I74" i="5"/>
  <c r="H74" i="5"/>
  <c r="G74" i="5"/>
  <c r="F74" i="5"/>
  <c r="E74" i="5"/>
  <c r="D74" i="5"/>
  <c r="L74" i="5" s="1"/>
  <c r="C74" i="5"/>
  <c r="B74" i="5"/>
  <c r="A74" i="5"/>
  <c r="L73" i="5"/>
  <c r="K73" i="5"/>
  <c r="J73" i="5"/>
  <c r="I73" i="5"/>
  <c r="H73" i="5"/>
  <c r="G73" i="5"/>
  <c r="F73" i="5"/>
  <c r="E73" i="5"/>
  <c r="D73" i="5"/>
  <c r="C73" i="5"/>
  <c r="B73" i="5"/>
  <c r="A73" i="5"/>
  <c r="L72" i="5"/>
  <c r="K72" i="5"/>
  <c r="J72" i="5"/>
  <c r="I72" i="5"/>
  <c r="H72" i="5"/>
  <c r="G72" i="5"/>
  <c r="F72" i="5"/>
  <c r="E72" i="5"/>
  <c r="D72" i="5"/>
  <c r="C72" i="5"/>
  <c r="B72" i="5"/>
  <c r="A72" i="5"/>
  <c r="L71" i="5"/>
  <c r="K71" i="5"/>
  <c r="J71" i="5"/>
  <c r="I71" i="5"/>
  <c r="H71" i="5"/>
  <c r="G71" i="5"/>
  <c r="F71" i="5"/>
  <c r="E71" i="5"/>
  <c r="D71" i="5"/>
  <c r="C71" i="5"/>
  <c r="B71" i="5"/>
  <c r="A71" i="5"/>
  <c r="K70" i="5"/>
  <c r="J70" i="5"/>
  <c r="I70" i="5"/>
  <c r="H70" i="5"/>
  <c r="G70" i="5"/>
  <c r="F70" i="5"/>
  <c r="E70" i="5"/>
  <c r="D70" i="5"/>
  <c r="L70" i="5" s="1"/>
  <c r="C70" i="5"/>
  <c r="B70" i="5"/>
  <c r="A70" i="5"/>
  <c r="K69" i="5"/>
  <c r="J69" i="5"/>
  <c r="I69" i="5"/>
  <c r="H69" i="5"/>
  <c r="G69" i="5"/>
  <c r="F69" i="5"/>
  <c r="E69" i="5"/>
  <c r="D69" i="5"/>
  <c r="L69" i="5" s="1"/>
  <c r="C69" i="5"/>
  <c r="B69" i="5"/>
  <c r="A69" i="5"/>
  <c r="K68" i="5"/>
  <c r="J68" i="5"/>
  <c r="I68" i="5"/>
  <c r="H68" i="5"/>
  <c r="G68" i="5"/>
  <c r="F68" i="5"/>
  <c r="E68" i="5"/>
  <c r="D68" i="5"/>
  <c r="L68" i="5" s="1"/>
  <c r="C68" i="5"/>
  <c r="B68" i="5"/>
  <c r="A68" i="5"/>
  <c r="K67" i="5"/>
  <c r="J67" i="5"/>
  <c r="I67" i="5"/>
  <c r="H67" i="5"/>
  <c r="G67" i="5"/>
  <c r="F67" i="5"/>
  <c r="E67" i="5"/>
  <c r="D67" i="5"/>
  <c r="L67" i="5" s="1"/>
  <c r="C67" i="5"/>
  <c r="B67" i="5"/>
  <c r="A67" i="5"/>
  <c r="K66" i="5"/>
  <c r="J66" i="5"/>
  <c r="I66" i="5"/>
  <c r="H66" i="5"/>
  <c r="G66" i="5"/>
  <c r="F66" i="5"/>
  <c r="E66" i="5"/>
  <c r="D66" i="5"/>
  <c r="L66" i="5" s="1"/>
  <c r="C66" i="5"/>
  <c r="B66" i="5"/>
  <c r="A66" i="5"/>
  <c r="K65" i="5"/>
  <c r="J65" i="5"/>
  <c r="I65" i="5"/>
  <c r="H65" i="5"/>
  <c r="G65" i="5"/>
  <c r="F65" i="5"/>
  <c r="E65" i="5"/>
  <c r="D65" i="5"/>
  <c r="L65" i="5" s="1"/>
  <c r="C65" i="5"/>
  <c r="B65" i="5"/>
  <c r="A65" i="5"/>
  <c r="L64" i="5"/>
  <c r="K64" i="5"/>
  <c r="J64" i="5"/>
  <c r="I64" i="5"/>
  <c r="H64" i="5"/>
  <c r="G64" i="5"/>
  <c r="F64" i="5"/>
  <c r="E64" i="5"/>
  <c r="D64" i="5"/>
  <c r="C64" i="5"/>
  <c r="B64" i="5"/>
  <c r="A64" i="5"/>
  <c r="L63" i="5"/>
  <c r="K63" i="5"/>
  <c r="J63" i="5"/>
  <c r="I63" i="5"/>
  <c r="H63" i="5"/>
  <c r="G63" i="5"/>
  <c r="F63" i="5"/>
  <c r="E63" i="5"/>
  <c r="D63" i="5"/>
  <c r="C63" i="5"/>
  <c r="B63" i="5"/>
  <c r="A63" i="5"/>
  <c r="K62" i="5"/>
  <c r="J62" i="5"/>
  <c r="I62" i="5"/>
  <c r="H62" i="5"/>
  <c r="G62" i="5"/>
  <c r="F62" i="5"/>
  <c r="E62" i="5"/>
  <c r="D62" i="5"/>
  <c r="L62" i="5" s="1"/>
  <c r="C62" i="5"/>
  <c r="B62" i="5"/>
  <c r="A62" i="5"/>
  <c r="K61" i="5"/>
  <c r="J61" i="5"/>
  <c r="I61" i="5"/>
  <c r="H61" i="5"/>
  <c r="G61" i="5"/>
  <c r="F61" i="5"/>
  <c r="E61" i="5"/>
  <c r="D61" i="5"/>
  <c r="L61" i="5" s="1"/>
  <c r="C61" i="5"/>
  <c r="B61" i="5"/>
  <c r="A61" i="5"/>
  <c r="K60" i="5"/>
  <c r="J60" i="5"/>
  <c r="I60" i="5"/>
  <c r="H60" i="5"/>
  <c r="G60" i="5"/>
  <c r="F60" i="5"/>
  <c r="E60" i="5"/>
  <c r="D60" i="5"/>
  <c r="L60" i="5" s="1"/>
  <c r="C60" i="5"/>
  <c r="B60" i="5"/>
  <c r="A60" i="5"/>
  <c r="K59" i="5"/>
  <c r="J59" i="5"/>
  <c r="I59" i="5"/>
  <c r="H59" i="5"/>
  <c r="G59" i="5"/>
  <c r="F59" i="5"/>
  <c r="E59" i="5"/>
  <c r="D59" i="5"/>
  <c r="L59" i="5" s="1"/>
  <c r="C59" i="5"/>
  <c r="B59" i="5"/>
  <c r="A59" i="5"/>
  <c r="K58" i="5"/>
  <c r="J58" i="5"/>
  <c r="I58" i="5"/>
  <c r="H58" i="5"/>
  <c r="G58" i="5"/>
  <c r="F58" i="5"/>
  <c r="E58" i="5"/>
  <c r="D58" i="5"/>
  <c r="L58" i="5" s="1"/>
  <c r="C58" i="5"/>
  <c r="B58" i="5"/>
  <c r="A58" i="5"/>
  <c r="K57" i="5"/>
  <c r="J57" i="5"/>
  <c r="I57" i="5"/>
  <c r="H57" i="5"/>
  <c r="G57" i="5"/>
  <c r="F57" i="5"/>
  <c r="E57" i="5"/>
  <c r="D57" i="5"/>
  <c r="L57" i="5" s="1"/>
  <c r="C57" i="5"/>
  <c r="B57" i="5"/>
  <c r="A57" i="5"/>
  <c r="K56" i="5"/>
  <c r="J56" i="5"/>
  <c r="I56" i="5"/>
  <c r="H56" i="5"/>
  <c r="G56" i="5"/>
  <c r="F56" i="5"/>
  <c r="E56" i="5"/>
  <c r="D56" i="5"/>
  <c r="L56" i="5" s="1"/>
  <c r="C56" i="5"/>
  <c r="B56" i="5"/>
  <c r="A56" i="5"/>
  <c r="K55" i="5"/>
  <c r="J55" i="5"/>
  <c r="I55" i="5"/>
  <c r="H55" i="5"/>
  <c r="G55" i="5"/>
  <c r="F55" i="5"/>
  <c r="E55" i="5"/>
  <c r="D55" i="5"/>
  <c r="L55" i="5" s="1"/>
  <c r="C55" i="5"/>
  <c r="B55" i="5"/>
  <c r="A55" i="5"/>
  <c r="K54" i="5"/>
  <c r="J54" i="5"/>
  <c r="I54" i="5"/>
  <c r="H54" i="5"/>
  <c r="G54" i="5"/>
  <c r="F54" i="5"/>
  <c r="E54" i="5"/>
  <c r="D54" i="5"/>
  <c r="L54" i="5" s="1"/>
  <c r="C54" i="5"/>
  <c r="B54" i="5"/>
  <c r="A54" i="5"/>
  <c r="K53" i="5"/>
  <c r="J53" i="5"/>
  <c r="I53" i="5"/>
  <c r="H53" i="5"/>
  <c r="G53" i="5"/>
  <c r="F53" i="5"/>
  <c r="E53" i="5"/>
  <c r="D53" i="5"/>
  <c r="L53" i="5" s="1"/>
  <c r="C53" i="5"/>
  <c r="B53" i="5"/>
  <c r="A53" i="5"/>
  <c r="K52" i="5"/>
  <c r="J52" i="5"/>
  <c r="I52" i="5"/>
  <c r="H52" i="5"/>
  <c r="G52" i="5"/>
  <c r="F52" i="5"/>
  <c r="E52" i="5"/>
  <c r="D52" i="5"/>
  <c r="L52" i="5" s="1"/>
  <c r="C52" i="5"/>
  <c r="B52" i="5"/>
  <c r="A52" i="5"/>
  <c r="K51" i="5"/>
  <c r="J51" i="5"/>
  <c r="I51" i="5"/>
  <c r="H51" i="5"/>
  <c r="G51" i="5"/>
  <c r="F51" i="5"/>
  <c r="E51" i="5"/>
  <c r="D51" i="5"/>
  <c r="L51" i="5" s="1"/>
  <c r="C51" i="5"/>
  <c r="B51" i="5"/>
  <c r="A51" i="5"/>
  <c r="K50" i="5"/>
  <c r="J50" i="5"/>
  <c r="I50" i="5"/>
  <c r="H50" i="5"/>
  <c r="G50" i="5"/>
  <c r="F50" i="5"/>
  <c r="E50" i="5"/>
  <c r="D50" i="5"/>
  <c r="L50" i="5" s="1"/>
  <c r="C50" i="5"/>
  <c r="B50" i="5"/>
  <c r="A50" i="5"/>
  <c r="K49" i="5"/>
  <c r="J49" i="5"/>
  <c r="I49" i="5"/>
  <c r="H49" i="5"/>
  <c r="G49" i="5"/>
  <c r="F49" i="5"/>
  <c r="E49" i="5"/>
  <c r="D49" i="5"/>
  <c r="L49" i="5" s="1"/>
  <c r="C49" i="5"/>
  <c r="B49" i="5"/>
  <c r="A49" i="5"/>
  <c r="K48" i="5"/>
  <c r="J48" i="5"/>
  <c r="I48" i="5"/>
  <c r="H48" i="5"/>
  <c r="G48" i="5"/>
  <c r="F48" i="5"/>
  <c r="E48" i="5"/>
  <c r="D48" i="5"/>
  <c r="L48" i="5" s="1"/>
  <c r="C48" i="5"/>
  <c r="B48" i="5"/>
  <c r="A48" i="5"/>
  <c r="K47" i="5"/>
  <c r="J47" i="5"/>
  <c r="I47" i="5"/>
  <c r="H47" i="5"/>
  <c r="G47" i="5"/>
  <c r="F47" i="5"/>
  <c r="E47" i="5"/>
  <c r="D47" i="5"/>
  <c r="L47" i="5" s="1"/>
  <c r="C47" i="5"/>
  <c r="B47" i="5"/>
  <c r="A47" i="5"/>
  <c r="L46" i="5"/>
  <c r="K46" i="5"/>
  <c r="J46" i="5"/>
  <c r="I46" i="5"/>
  <c r="H46" i="5"/>
  <c r="G46" i="5"/>
  <c r="F46" i="5"/>
  <c r="E46" i="5"/>
  <c r="D46" i="5"/>
  <c r="C46" i="5"/>
  <c r="B46" i="5"/>
  <c r="A46" i="5"/>
  <c r="K45" i="5"/>
  <c r="J45" i="5"/>
  <c r="I45" i="5"/>
  <c r="H45" i="5"/>
  <c r="G45" i="5"/>
  <c r="F45" i="5"/>
  <c r="E45" i="5"/>
  <c r="D45" i="5"/>
  <c r="L45" i="5" s="1"/>
  <c r="C45" i="5"/>
  <c r="B45" i="5"/>
  <c r="A45" i="5"/>
  <c r="K44" i="5"/>
  <c r="J44" i="5"/>
  <c r="I44" i="5"/>
  <c r="H44" i="5"/>
  <c r="G44" i="5"/>
  <c r="F44" i="5"/>
  <c r="E44" i="5"/>
  <c r="D44" i="5"/>
  <c r="L44" i="5" s="1"/>
  <c r="C44" i="5"/>
  <c r="B44" i="5"/>
  <c r="A44" i="5"/>
  <c r="K43" i="5"/>
  <c r="J43" i="5"/>
  <c r="I43" i="5"/>
  <c r="H43" i="5"/>
  <c r="G43" i="5"/>
  <c r="F43" i="5"/>
  <c r="E43" i="5"/>
  <c r="D43" i="5"/>
  <c r="L43" i="5" s="1"/>
  <c r="C43" i="5"/>
  <c r="B43" i="5"/>
  <c r="A43" i="5"/>
  <c r="K42" i="5"/>
  <c r="J42" i="5"/>
  <c r="I42" i="5"/>
  <c r="H42" i="5"/>
  <c r="G42" i="5"/>
  <c r="F42" i="5"/>
  <c r="E42" i="5"/>
  <c r="D42" i="5"/>
  <c r="L42" i="5" s="1"/>
  <c r="C42" i="5"/>
  <c r="B42" i="5"/>
  <c r="A42" i="5"/>
  <c r="K41" i="5"/>
  <c r="J41" i="5"/>
  <c r="I41" i="5"/>
  <c r="H41" i="5"/>
  <c r="G41" i="5"/>
  <c r="F41" i="5"/>
  <c r="E41" i="5"/>
  <c r="D41" i="5"/>
  <c r="L41" i="5" s="1"/>
  <c r="C41" i="5"/>
  <c r="B41" i="5"/>
  <c r="A41" i="5"/>
  <c r="K40" i="5"/>
  <c r="J40" i="5"/>
  <c r="I40" i="5"/>
  <c r="H40" i="5"/>
  <c r="G40" i="5"/>
  <c r="F40" i="5"/>
  <c r="E40" i="5"/>
  <c r="D40" i="5"/>
  <c r="L40" i="5" s="1"/>
  <c r="C40" i="5"/>
  <c r="B40" i="5"/>
  <c r="A40" i="5"/>
  <c r="K39" i="5"/>
  <c r="J39" i="5"/>
  <c r="I39" i="5"/>
  <c r="H39" i="5"/>
  <c r="G39" i="5"/>
  <c r="F39" i="5"/>
  <c r="E39" i="5"/>
  <c r="D39" i="5"/>
  <c r="L39" i="5" s="1"/>
  <c r="C39" i="5"/>
  <c r="B39" i="5"/>
  <c r="A39" i="5"/>
  <c r="K38" i="5"/>
  <c r="J38" i="5"/>
  <c r="I38" i="5"/>
  <c r="H38" i="5"/>
  <c r="G38" i="5"/>
  <c r="F38" i="5"/>
  <c r="E38" i="5"/>
  <c r="D38" i="5"/>
  <c r="L38" i="5" s="1"/>
  <c r="C38" i="5"/>
  <c r="B38" i="5"/>
  <c r="A38" i="5"/>
  <c r="K37" i="5"/>
  <c r="J37" i="5"/>
  <c r="I37" i="5"/>
  <c r="H37" i="5"/>
  <c r="G37" i="5"/>
  <c r="F37" i="5"/>
  <c r="E37" i="5"/>
  <c r="D37" i="5"/>
  <c r="L37" i="5" s="1"/>
  <c r="C37" i="5"/>
  <c r="B37" i="5"/>
  <c r="A37" i="5"/>
  <c r="K36" i="5"/>
  <c r="J36" i="5"/>
  <c r="I36" i="5"/>
  <c r="H36" i="5"/>
  <c r="G36" i="5"/>
  <c r="F36" i="5"/>
  <c r="E36" i="5"/>
  <c r="D36" i="5"/>
  <c r="L36" i="5" s="1"/>
  <c r="C36" i="5"/>
  <c r="B36" i="5"/>
  <c r="A36" i="5"/>
  <c r="L35" i="5"/>
  <c r="K35" i="5"/>
  <c r="J35" i="5"/>
  <c r="I35" i="5"/>
  <c r="H35" i="5"/>
  <c r="G35" i="5"/>
  <c r="F35" i="5"/>
  <c r="E35" i="5"/>
  <c r="D35" i="5"/>
  <c r="C35" i="5"/>
  <c r="B35" i="5"/>
  <c r="A35" i="5"/>
  <c r="K34" i="5"/>
  <c r="J34" i="5"/>
  <c r="I34" i="5"/>
  <c r="H34" i="5"/>
  <c r="G34" i="5"/>
  <c r="F34" i="5"/>
  <c r="E34" i="5"/>
  <c r="D34" i="5"/>
  <c r="L34" i="5" s="1"/>
  <c r="C34" i="5"/>
  <c r="B34" i="5"/>
  <c r="A34" i="5"/>
  <c r="K33" i="5"/>
  <c r="J33" i="5"/>
  <c r="I33" i="5"/>
  <c r="H33" i="5"/>
  <c r="G33" i="5"/>
  <c r="F33" i="5"/>
  <c r="E33" i="5"/>
  <c r="D33" i="5"/>
  <c r="L33" i="5" s="1"/>
  <c r="C33" i="5"/>
  <c r="B33" i="5"/>
  <c r="A33" i="5"/>
  <c r="K32" i="5"/>
  <c r="J32" i="5"/>
  <c r="I32" i="5"/>
  <c r="H32" i="5"/>
  <c r="G32" i="5"/>
  <c r="F32" i="5"/>
  <c r="E32" i="5"/>
  <c r="D32" i="5"/>
  <c r="L32" i="5" s="1"/>
  <c r="C32" i="5"/>
  <c r="B32" i="5"/>
  <c r="A32" i="5"/>
  <c r="K31" i="5"/>
  <c r="J31" i="5"/>
  <c r="I31" i="5"/>
  <c r="H31" i="5"/>
  <c r="G31" i="5"/>
  <c r="F31" i="5"/>
  <c r="E31" i="5"/>
  <c r="D31" i="5"/>
  <c r="L31" i="5" s="1"/>
  <c r="C31" i="5"/>
  <c r="B31" i="5"/>
  <c r="A31" i="5"/>
  <c r="K30" i="5"/>
  <c r="J30" i="5"/>
  <c r="I30" i="5"/>
  <c r="H30" i="5"/>
  <c r="G30" i="5"/>
  <c r="F30" i="5"/>
  <c r="E30" i="5"/>
  <c r="D30" i="5"/>
  <c r="L30" i="5" s="1"/>
  <c r="C30" i="5"/>
  <c r="B30" i="5"/>
  <c r="A30" i="5"/>
  <c r="K29" i="5"/>
  <c r="J29" i="5"/>
  <c r="I29" i="5"/>
  <c r="H29" i="5"/>
  <c r="G29" i="5"/>
  <c r="F29" i="5"/>
  <c r="E29" i="5"/>
  <c r="D29" i="5"/>
  <c r="L29" i="5" s="1"/>
  <c r="C29" i="5"/>
  <c r="B29" i="5"/>
  <c r="A29" i="5"/>
  <c r="K28" i="5"/>
  <c r="J28" i="5"/>
  <c r="I28" i="5"/>
  <c r="H28" i="5"/>
  <c r="G28" i="5"/>
  <c r="F28" i="5"/>
  <c r="E28" i="5"/>
  <c r="D28" i="5"/>
  <c r="L28" i="5" s="1"/>
  <c r="C28" i="5"/>
  <c r="B28" i="5"/>
  <c r="A28" i="5"/>
  <c r="K27" i="5"/>
  <c r="J27" i="5"/>
  <c r="I27" i="5"/>
  <c r="H27" i="5"/>
  <c r="G27" i="5"/>
  <c r="F27" i="5"/>
  <c r="E27" i="5"/>
  <c r="D27" i="5"/>
  <c r="L27" i="5" s="1"/>
  <c r="C27" i="5"/>
  <c r="B27" i="5"/>
  <c r="A27" i="5"/>
  <c r="K26" i="5"/>
  <c r="J26" i="5"/>
  <c r="I26" i="5"/>
  <c r="H26" i="5"/>
  <c r="G26" i="5"/>
  <c r="F26" i="5"/>
  <c r="E26" i="5"/>
  <c r="D26" i="5"/>
  <c r="L26" i="5" s="1"/>
  <c r="C26" i="5"/>
  <c r="B26" i="5"/>
  <c r="A26" i="5"/>
  <c r="L25" i="5"/>
  <c r="K25" i="5"/>
  <c r="J25" i="5"/>
  <c r="I25" i="5"/>
  <c r="H25" i="5"/>
  <c r="G25" i="5"/>
  <c r="F25" i="5"/>
  <c r="E25" i="5"/>
  <c r="D25" i="5"/>
  <c r="C25" i="5"/>
  <c r="B25" i="5"/>
  <c r="A25" i="5"/>
  <c r="L24" i="5"/>
  <c r="K24" i="5"/>
  <c r="J24" i="5"/>
  <c r="I24" i="5"/>
  <c r="H24" i="5"/>
  <c r="G24" i="5"/>
  <c r="F24" i="5"/>
  <c r="E24" i="5"/>
  <c r="D24" i="5"/>
  <c r="C24" i="5"/>
  <c r="B24" i="5"/>
  <c r="A24" i="5"/>
  <c r="K23" i="5"/>
  <c r="J23" i="5"/>
  <c r="I23" i="5"/>
  <c r="H23" i="5"/>
  <c r="G23" i="5"/>
  <c r="F23" i="5"/>
  <c r="E23" i="5"/>
  <c r="D23" i="5"/>
  <c r="L23" i="5" s="1"/>
  <c r="C23" i="5"/>
  <c r="B23" i="5"/>
  <c r="A23" i="5"/>
  <c r="L22" i="5"/>
  <c r="K22" i="5"/>
  <c r="J22" i="5"/>
  <c r="I22" i="5"/>
  <c r="H22" i="5"/>
  <c r="G22" i="5"/>
  <c r="F22" i="5"/>
  <c r="E22" i="5"/>
  <c r="D22" i="5"/>
  <c r="C22" i="5"/>
  <c r="B22" i="5"/>
  <c r="A22" i="5"/>
  <c r="K21" i="5"/>
  <c r="J21" i="5"/>
  <c r="I21" i="5"/>
  <c r="H21" i="5"/>
  <c r="G21" i="5"/>
  <c r="F21" i="5"/>
  <c r="E21" i="5"/>
  <c r="D21" i="5"/>
  <c r="L21" i="5" s="1"/>
  <c r="C21" i="5"/>
  <c r="B21" i="5"/>
  <c r="A21" i="5"/>
  <c r="K20" i="5"/>
  <c r="J20" i="5"/>
  <c r="I20" i="5"/>
  <c r="H20" i="5"/>
  <c r="G20" i="5"/>
  <c r="F20" i="5"/>
  <c r="E20" i="5"/>
  <c r="D20" i="5"/>
  <c r="L20" i="5" s="1"/>
  <c r="C20" i="5"/>
  <c r="B20" i="5"/>
  <c r="A20" i="5"/>
  <c r="K19" i="5"/>
  <c r="J19" i="5"/>
  <c r="I19" i="5"/>
  <c r="H19" i="5"/>
  <c r="G19" i="5"/>
  <c r="F19" i="5"/>
  <c r="E19" i="5"/>
  <c r="D19" i="5"/>
  <c r="L19" i="5" s="1"/>
  <c r="C19" i="5"/>
  <c r="B19" i="5"/>
  <c r="A19" i="5"/>
  <c r="K18" i="5"/>
  <c r="J18" i="5"/>
  <c r="I18" i="5"/>
  <c r="H18" i="5"/>
  <c r="G18" i="5"/>
  <c r="F18" i="5"/>
  <c r="E18" i="5"/>
  <c r="D18" i="5"/>
  <c r="L18" i="5" s="1"/>
  <c r="C18" i="5"/>
  <c r="B18" i="5"/>
  <c r="A18" i="5"/>
  <c r="K17" i="5"/>
  <c r="J17" i="5"/>
  <c r="I17" i="5"/>
  <c r="H17" i="5"/>
  <c r="G17" i="5"/>
  <c r="F17" i="5"/>
  <c r="E17" i="5"/>
  <c r="D17" i="5"/>
  <c r="L17" i="5" s="1"/>
  <c r="C17" i="5"/>
  <c r="B17" i="5"/>
  <c r="A17" i="5"/>
  <c r="K16" i="5"/>
  <c r="J16" i="5"/>
  <c r="I16" i="5"/>
  <c r="H16" i="5"/>
  <c r="G16" i="5"/>
  <c r="F16" i="5"/>
  <c r="E16" i="5"/>
  <c r="D16" i="5"/>
  <c r="L16" i="5" s="1"/>
  <c r="C16" i="5"/>
  <c r="B16" i="5"/>
  <c r="A16" i="5"/>
  <c r="K15" i="5"/>
  <c r="J15" i="5"/>
  <c r="I15" i="5"/>
  <c r="H15" i="5"/>
  <c r="G15" i="5"/>
  <c r="F15" i="5"/>
  <c r="E15" i="5"/>
  <c r="D15" i="5"/>
  <c r="L15" i="5" s="1"/>
  <c r="C15" i="5"/>
  <c r="B15" i="5"/>
  <c r="A15" i="5"/>
  <c r="K14" i="5"/>
  <c r="J14" i="5"/>
  <c r="I14" i="5"/>
  <c r="H14" i="5"/>
  <c r="G14" i="5"/>
  <c r="F14" i="5"/>
  <c r="E14" i="5"/>
  <c r="D14" i="5"/>
  <c r="L14" i="5" s="1"/>
  <c r="C14" i="5"/>
  <c r="B14" i="5"/>
  <c r="A14" i="5"/>
  <c r="K13" i="5"/>
  <c r="J13" i="5"/>
  <c r="I13" i="5"/>
  <c r="H13" i="5"/>
  <c r="G13" i="5"/>
  <c r="F13" i="5"/>
  <c r="E13" i="5"/>
  <c r="D13" i="5"/>
  <c r="L13" i="5" s="1"/>
  <c r="C13" i="5"/>
  <c r="B13" i="5"/>
  <c r="A13" i="5"/>
  <c r="K12" i="5"/>
  <c r="J12" i="5"/>
  <c r="I12" i="5"/>
  <c r="H12" i="5"/>
  <c r="G12" i="5"/>
  <c r="F12" i="5"/>
  <c r="E12" i="5"/>
  <c r="D12" i="5"/>
  <c r="L12" i="5" s="1"/>
  <c r="C12" i="5"/>
  <c r="B12" i="5"/>
  <c r="A12" i="5"/>
  <c r="K11" i="5"/>
  <c r="J11" i="5"/>
  <c r="I11" i="5"/>
  <c r="H11" i="5"/>
  <c r="G11" i="5"/>
  <c r="F11" i="5"/>
  <c r="E11" i="5"/>
  <c r="D11" i="5"/>
  <c r="L11" i="5" s="1"/>
  <c r="C11" i="5"/>
  <c r="B11" i="5"/>
  <c r="A11" i="5"/>
  <c r="K10" i="5"/>
  <c r="J10" i="5"/>
  <c r="I10" i="5"/>
  <c r="H10" i="5"/>
  <c r="G10" i="5"/>
  <c r="F10" i="5"/>
  <c r="E10" i="5"/>
  <c r="D10" i="5"/>
  <c r="L10" i="5" s="1"/>
  <c r="C10" i="5"/>
  <c r="B10" i="5"/>
  <c r="A10" i="5"/>
  <c r="L9" i="5"/>
  <c r="K9" i="5"/>
  <c r="J9" i="5"/>
  <c r="I9" i="5"/>
  <c r="H9" i="5"/>
  <c r="G9" i="5"/>
  <c r="F9" i="5"/>
  <c r="E9" i="5"/>
  <c r="D9" i="5"/>
  <c r="C9" i="5"/>
  <c r="B9" i="5"/>
  <c r="A9" i="5"/>
  <c r="K8" i="5"/>
  <c r="J8" i="5"/>
  <c r="I8" i="5"/>
  <c r="H8" i="5"/>
  <c r="G8" i="5"/>
  <c r="F8" i="5"/>
  <c r="E8" i="5"/>
  <c r="D8" i="5"/>
  <c r="L8" i="5" s="1"/>
  <c r="C8" i="5"/>
  <c r="B8" i="5"/>
  <c r="A8" i="5"/>
  <c r="K7" i="5"/>
  <c r="J7" i="5"/>
  <c r="I7" i="5"/>
  <c r="H7" i="5"/>
  <c r="G7" i="5"/>
  <c r="F7" i="5"/>
  <c r="E7" i="5"/>
  <c r="D7" i="5"/>
  <c r="L7" i="5" s="1"/>
  <c r="C7" i="5"/>
  <c r="B7" i="5"/>
  <c r="A7" i="5"/>
  <c r="K6" i="5"/>
  <c r="J6" i="5"/>
  <c r="I6" i="5"/>
  <c r="H6" i="5"/>
  <c r="G6" i="5"/>
  <c r="F6" i="5"/>
  <c r="E6" i="5"/>
  <c r="D6" i="5"/>
  <c r="L6" i="5" s="1"/>
  <c r="C6" i="5"/>
  <c r="B6" i="5"/>
  <c r="A6" i="5"/>
  <c r="K5" i="5"/>
  <c r="J5" i="5"/>
  <c r="I5" i="5"/>
  <c r="H5" i="5"/>
  <c r="G5" i="5"/>
  <c r="F5" i="5"/>
  <c r="E5" i="5"/>
  <c r="D5" i="5"/>
  <c r="L5" i="5" s="1"/>
  <c r="C5" i="5"/>
  <c r="B5" i="5"/>
  <c r="A5" i="5"/>
  <c r="L4" i="5"/>
  <c r="K4" i="5"/>
  <c r="J4" i="5"/>
  <c r="I4" i="5"/>
  <c r="H4" i="5"/>
  <c r="G4" i="5"/>
  <c r="F4" i="5"/>
  <c r="E4" i="5"/>
  <c r="D4" i="5"/>
  <c r="C4" i="5"/>
  <c r="B4" i="5"/>
  <c r="A4" i="5"/>
  <c r="K3" i="5"/>
  <c r="J3" i="5"/>
  <c r="I3" i="5"/>
  <c r="H3" i="5"/>
  <c r="G3" i="5"/>
  <c r="F3" i="5"/>
  <c r="E3" i="5"/>
  <c r="D3" i="5"/>
  <c r="L3" i="5" s="1"/>
  <c r="C3" i="5"/>
  <c r="B3" i="5"/>
  <c r="A3" i="5"/>
  <c r="L2" i="5"/>
  <c r="K2" i="5"/>
  <c r="J2" i="5"/>
  <c r="I2" i="5"/>
  <c r="H2" i="5"/>
  <c r="G2" i="5"/>
  <c r="F2" i="5"/>
  <c r="E2" i="5"/>
  <c r="D2" i="5"/>
  <c r="C2" i="5"/>
  <c r="B2" i="5"/>
  <c r="A2" i="5"/>
</calcChain>
</file>

<file path=xl/sharedStrings.xml><?xml version="1.0" encoding="utf-8"?>
<sst xmlns="http://schemas.openxmlformats.org/spreadsheetml/2006/main" count="325" uniqueCount="58">
  <si>
    <t>Продукт</t>
  </si>
  <si>
    <t>Цена</t>
  </si>
  <si>
    <t>Кол-во прод в кг</t>
  </si>
  <si>
    <t>Кол-во ост.</t>
  </si>
  <si>
    <t>Стоимость</t>
  </si>
  <si>
    <t>Поставщик</t>
  </si>
  <si>
    <t>Дата поставки</t>
  </si>
  <si>
    <t>План. Дата поставки</t>
  </si>
  <si>
    <t>Дата продажи</t>
  </si>
  <si>
    <t>Сост. Доставки</t>
  </si>
  <si>
    <t>Абрикосы</t>
  </si>
  <si>
    <t>"ChinaKO TM"</t>
  </si>
  <si>
    <t>Груши</t>
  </si>
  <si>
    <t>Персики</t>
  </si>
  <si>
    <t>Черешня</t>
  </si>
  <si>
    <t>Яблоки</t>
  </si>
  <si>
    <t>Авокадо</t>
  </si>
  <si>
    <t>"Japfruit ComLTD"</t>
  </si>
  <si>
    <t>Батат</t>
  </si>
  <si>
    <t>Дайкон</t>
  </si>
  <si>
    <t>Кольраби</t>
  </si>
  <si>
    <t>Сельдерей</t>
  </si>
  <si>
    <t>Спаржа</t>
  </si>
  <si>
    <t>Топинамбур</t>
  </si>
  <si>
    <t>Баклажан</t>
  </si>
  <si>
    <t>&lt;&lt;ООО&gt;&gt;"Зарница"</t>
  </si>
  <si>
    <t>Брокколи</t>
  </si>
  <si>
    <t>Брюква</t>
  </si>
  <si>
    <t>Горох</t>
  </si>
  <si>
    <t>Капуста</t>
  </si>
  <si>
    <t>Картофель</t>
  </si>
  <si>
    <t>Кукуруза</t>
  </si>
  <si>
    <t>Морковь</t>
  </si>
  <si>
    <t>Огурцы</t>
  </si>
  <si>
    <t>Пастернак</t>
  </si>
  <si>
    <t>Патиссон</t>
  </si>
  <si>
    <t>Помидоры</t>
  </si>
  <si>
    <t>Редис</t>
  </si>
  <si>
    <t>Редька</t>
  </si>
  <si>
    <t>Репа</t>
  </si>
  <si>
    <t>Свекла</t>
  </si>
  <si>
    <t>Тыква</t>
  </si>
  <si>
    <t>Чеснок</t>
  </si>
  <si>
    <t>Магазин</t>
  </si>
  <si>
    <t>Количество</t>
  </si>
  <si>
    <t>Значения</t>
  </si>
  <si>
    <t>Названия строк</t>
  </si>
  <si>
    <t>Sum из Стоимость</t>
  </si>
  <si>
    <t>Среднее из Стоимость</t>
  </si>
  <si>
    <t>Макс из Стоимость</t>
  </si>
  <si>
    <t>Мин из Стоимость</t>
  </si>
  <si>
    <t>Восток</t>
  </si>
  <si>
    <t>Запад</t>
  </si>
  <si>
    <t>Север</t>
  </si>
  <si>
    <t>Юг</t>
  </si>
  <si>
    <t>Общий итог</t>
  </si>
  <si>
    <t>Sum из Количество</t>
  </si>
  <si>
    <t>Сумма из Кол-во прод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</si>
</sst>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name val="Calibri"/>
    </font>
    <font>
      <sz val="1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2" fontId="0" fillId="0" borderId="3" xfId="1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42" fontId="0" fillId="0" borderId="5" xfId="1" applyNumberFormat="1" applyBorder="1" applyAlignment="1">
      <alignment horizontal="center"/>
    </xf>
    <xf numFmtId="42" fontId="0" fillId="0" borderId="6" xfId="1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2" fontId="0" fillId="0" borderId="8" xfId="1" applyNumberFormat="1" applyBorder="1" applyAlignment="1">
      <alignment horizontal="center"/>
    </xf>
    <xf numFmtId="42" fontId="0" fillId="0" borderId="7" xfId="1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10">
    <dxf>
      <font>
        <color rgb="FF00B050"/>
      </font>
    </dxf>
    <dxf>
      <font>
        <color indexed="2"/>
      </font>
    </dxf>
    <dxf>
      <font>
        <color indexed="2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indexed="2"/>
      </font>
    </dxf>
    <dxf>
      <font>
        <color rgb="FF9C0006"/>
      </font>
    </dxf>
    <dxf>
      <font>
        <color rgb="FF00B050"/>
      </font>
    </dxf>
    <dxf>
      <font>
        <color indexed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Магазины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'Для сводной'!$N$4</c:f>
              <c:strCache>
                <c:ptCount val="1"/>
                <c:pt idx="0">
                  <c:v>Восток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'Для сводной'!$O$4</c:f>
              <c:numCache>
                <c:formatCode>General</c:formatCode>
                <c:ptCount val="1"/>
                <c:pt idx="0">
                  <c:v>84823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9-4BA3-9070-64E2CB6C2215}"/>
            </c:ext>
          </c:extLst>
        </c:ser>
        <c:ser>
          <c:idx val="1"/>
          <c:order val="1"/>
          <c:tx>
            <c:strRef>
              <c:f>'Для сводной'!$N$5</c:f>
              <c:strCache>
                <c:ptCount val="1"/>
                <c:pt idx="0">
                  <c:v>Запад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val>
            <c:numRef>
              <c:f>'Для сводной'!$O$5</c:f>
              <c:numCache>
                <c:formatCode>General</c:formatCode>
                <c:ptCount val="1"/>
                <c:pt idx="0">
                  <c:v>70722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9-4BA3-9070-64E2CB6C2215}"/>
            </c:ext>
          </c:extLst>
        </c:ser>
        <c:ser>
          <c:idx val="2"/>
          <c:order val="2"/>
          <c:tx>
            <c:strRef>
              <c:f>'Для сводной'!$N$6</c:f>
              <c:strCache>
                <c:ptCount val="1"/>
                <c:pt idx="0">
                  <c:v>Север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dPt>
            <c:idx val="0"/>
            <c:invertIfNegative val="1"/>
            <c:bubble3D val="0"/>
            <c:spPr>
              <a:prstGeom prst="rect">
                <a:avLst/>
              </a:prstGeom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BF9-4BA3-9070-64E2CB6C2215}"/>
              </c:ext>
            </c:extLst>
          </c:dPt>
          <c:val>
            <c:numRef>
              <c:f>'Для сводной'!$O$6</c:f>
              <c:numCache>
                <c:formatCode>General</c:formatCode>
                <c:ptCount val="1"/>
                <c:pt idx="0">
                  <c:v>433622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9-4BA3-9070-64E2CB6C2215}"/>
            </c:ext>
          </c:extLst>
        </c:ser>
        <c:ser>
          <c:idx val="3"/>
          <c:order val="3"/>
          <c:tx>
            <c:strRef>
              <c:f>'Для сводной'!$N$7</c:f>
              <c:strCache>
                <c:ptCount val="1"/>
                <c:pt idx="0">
                  <c:v>Юг</c:v>
                </c:pt>
              </c:strCache>
            </c:strRef>
          </c:tx>
          <c:spPr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val>
            <c:numRef>
              <c:f>'Для сводной'!$O$7</c:f>
              <c:numCache>
                <c:formatCode>General</c:formatCode>
                <c:ptCount val="1"/>
                <c:pt idx="0">
                  <c:v>96516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F9-4BA3-9070-64E2CB6C2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1866169491"/>
        <c:axId val="1866169492"/>
      </c:barChart>
      <c:catAx>
        <c:axId val="18661694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6169492"/>
        <c:crosses val="autoZero"/>
        <c:auto val="1"/>
        <c:lblAlgn val="ctr"/>
        <c:lblOffset val="100"/>
        <c:noMultiLvlLbl val="0"/>
      </c:catAx>
      <c:valAx>
        <c:axId val="186616949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49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4073187" y="1777999"/>
      <a:ext cx="7675562" cy="450056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'Для сводной'!$N$44</c:f>
              <c:strCache>
                <c:ptCount val="1"/>
                <c:pt idx="0">
                  <c:v>Картофель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сводной'!$O$44</c:f>
              <c:numCache>
                <c:formatCode>General</c:formatCode>
                <c:ptCount val="1"/>
                <c:pt idx="0">
                  <c:v>54500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67-473A-9A29-86A8E64594BC}"/>
            </c:ext>
          </c:extLst>
        </c:ser>
        <c:ser>
          <c:idx val="1"/>
          <c:order val="1"/>
          <c:tx>
            <c:strRef>
              <c:f>'Для сводной'!$N$45</c:f>
              <c:strCache>
                <c:ptCount val="1"/>
                <c:pt idx="0">
                  <c:v>Огурцы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сводной'!$O$45</c:f>
              <c:numCache>
                <c:formatCode>General</c:formatCode>
                <c:ptCount val="1"/>
                <c:pt idx="0">
                  <c:v>33780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067-473A-9A29-86A8E64594BC}"/>
            </c:ext>
          </c:extLst>
        </c:ser>
        <c:ser>
          <c:idx val="2"/>
          <c:order val="2"/>
          <c:tx>
            <c:strRef>
              <c:f>'Для сводной'!$N$46</c:f>
              <c:strCache>
                <c:ptCount val="1"/>
                <c:pt idx="0">
                  <c:v>Помидоры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сводной'!$O$46</c:f>
              <c:numCache>
                <c:formatCode>General</c:formatCode>
                <c:ptCount val="1"/>
                <c:pt idx="0">
                  <c:v>31700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067-473A-9A29-86A8E64594BC}"/>
            </c:ext>
          </c:extLst>
        </c:ser>
        <c:ser>
          <c:idx val="3"/>
          <c:order val="3"/>
          <c:tx>
            <c:strRef>
              <c:f>'Для сводной'!$N$47</c:f>
              <c:strCache>
                <c:ptCount val="1"/>
                <c:pt idx="0">
                  <c:v>Яблоки</c:v>
                </c:pt>
              </c:strCache>
            </c:strRef>
          </c:tx>
          <c:spPr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сводной'!$O$47</c:f>
              <c:numCache>
                <c:formatCode>General</c:formatCode>
                <c:ptCount val="1"/>
                <c:pt idx="0">
                  <c:v>358580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067-473A-9A29-86A8E64594BC}"/>
            </c:ext>
          </c:extLst>
        </c:ser>
        <c:ser>
          <c:idx val="4"/>
          <c:order val="4"/>
          <c:tx>
            <c:strRef>
              <c:f>'Для сводной'!$N$48</c:f>
              <c:strCache>
                <c:ptCount val="1"/>
                <c:pt idx="0">
                  <c:v>Общий итог</c:v>
                </c:pt>
              </c:strCache>
            </c:strRef>
          </c:tx>
          <c:spPr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сводной'!$O$48</c:f>
              <c:numCache>
                <c:formatCode>General</c:formatCode>
                <c:ptCount val="1"/>
                <c:pt idx="0">
                  <c:v>478560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067-473A-9A29-86A8E64594BC}"/>
            </c:ext>
          </c:extLst>
        </c:ser>
        <c:ser>
          <c:idx val="5"/>
          <c:order val="5"/>
          <c:tx>
            <c:strRef>
              <c:f>'Для сводной'!$N$49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сводной'!$O$49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067-473A-9A29-86A8E64594BC}"/>
            </c:ext>
          </c:extLst>
        </c:ser>
        <c:ser>
          <c:idx val="6"/>
          <c:order val="6"/>
          <c:tx>
            <c:strRef>
              <c:f>'Для сводной'!$N$50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сводной'!$O$50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067-473A-9A29-86A8E64594BC}"/>
            </c:ext>
          </c:extLst>
        </c:ser>
        <c:ser>
          <c:idx val="7"/>
          <c:order val="7"/>
          <c:tx>
            <c:strRef>
              <c:f>'Для сводной'!$N$51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сводной'!$O$51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B067-473A-9A29-86A8E64594BC}"/>
            </c:ext>
          </c:extLst>
        </c:ser>
        <c:ser>
          <c:idx val="8"/>
          <c:order val="8"/>
          <c:tx>
            <c:strRef>
              <c:f>'Для сводной'!$N$52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3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сводной'!$O$52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067-473A-9A29-86A8E64594BC}"/>
            </c:ext>
          </c:extLst>
        </c:ser>
        <c:ser>
          <c:idx val="9"/>
          <c:order val="9"/>
          <c:tx>
            <c:strRef>
              <c:f>'Для сводной'!$N$53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4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сводной'!$O$53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B067-473A-9A29-86A8E64594BC}"/>
            </c:ext>
          </c:extLst>
        </c:ser>
        <c:ser>
          <c:idx val="10"/>
          <c:order val="10"/>
          <c:tx>
            <c:strRef>
              <c:f>'Для сводной'!$N$54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5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сводной'!$O$54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067-473A-9A29-86A8E64594BC}"/>
            </c:ext>
          </c:extLst>
        </c:ser>
        <c:ser>
          <c:idx val="11"/>
          <c:order val="11"/>
          <c:tx>
            <c:strRef>
              <c:f>'Для сводной'!$N$55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6">
                <a:lumMod val="6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сводной'!$O$55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B067-473A-9A29-86A8E64594BC}"/>
            </c:ext>
          </c:extLst>
        </c:ser>
        <c:ser>
          <c:idx val="12"/>
          <c:order val="12"/>
          <c:tx>
            <c:strRef>
              <c:f>'Для сводной'!$N$56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сводной'!$O$56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067-473A-9A29-86A8E64594BC}"/>
            </c:ext>
          </c:extLst>
        </c:ser>
        <c:ser>
          <c:idx val="13"/>
          <c:order val="13"/>
          <c:tx>
            <c:strRef>
              <c:f>'Для сводной'!$N$57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сводной'!$O$57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B067-473A-9A29-86A8E64594BC}"/>
            </c:ext>
          </c:extLst>
        </c:ser>
        <c:ser>
          <c:idx val="14"/>
          <c:order val="14"/>
          <c:tx>
            <c:strRef>
              <c:f>'Для сводной'!$N$58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B067-473A-9A29-86A8E64594BC}"/>
            </c:ext>
          </c:extLst>
        </c:ser>
        <c:ser>
          <c:idx val="15"/>
          <c:order val="15"/>
          <c:tx>
            <c:strRef>
              <c:f>'Для сводной'!$N$59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сводной'!$O$59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B067-473A-9A29-86A8E64594BC}"/>
            </c:ext>
          </c:extLst>
        </c:ser>
        <c:ser>
          <c:idx val="16"/>
          <c:order val="16"/>
          <c:tx>
            <c:strRef>
              <c:f>'Для сводной'!$N$60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сводной'!$O$60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B067-473A-9A29-86A8E64594BC}"/>
            </c:ext>
          </c:extLst>
        </c:ser>
        <c:ser>
          <c:idx val="17"/>
          <c:order val="17"/>
          <c:tx>
            <c:strRef>
              <c:f>'Для сводной'!$N$61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сводной'!$O$61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B067-473A-9A29-86A8E64594BC}"/>
            </c:ext>
          </c:extLst>
        </c:ser>
        <c:ser>
          <c:idx val="18"/>
          <c:order val="18"/>
          <c:tx>
            <c:strRef>
              <c:f>'Для сводной'!$N$62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1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сводной'!$O$62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B067-473A-9A29-86A8E64594BC}"/>
            </c:ext>
          </c:extLst>
        </c:ser>
        <c:ser>
          <c:idx val="19"/>
          <c:order val="19"/>
          <c:tx>
            <c:strRef>
              <c:f>'Для сводной'!$N$63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2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сводной'!$O$63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B067-473A-9A29-86A8E64594BC}"/>
            </c:ext>
          </c:extLst>
        </c:ser>
        <c:ser>
          <c:idx val="20"/>
          <c:order val="20"/>
          <c:tx>
            <c:strRef>
              <c:f>'Для сводной'!$N$64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3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сводной'!$O$64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B067-473A-9A29-86A8E64594BC}"/>
            </c:ext>
          </c:extLst>
        </c:ser>
        <c:ser>
          <c:idx val="21"/>
          <c:order val="21"/>
          <c:tx>
            <c:strRef>
              <c:f>'Для сводной'!$N$65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4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сводной'!$O$65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B067-473A-9A29-86A8E64594BC}"/>
            </c:ext>
          </c:extLst>
        </c:ser>
        <c:ser>
          <c:idx val="22"/>
          <c:order val="22"/>
          <c:tx>
            <c:strRef>
              <c:f>'Для сводной'!$N$66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5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сводной'!$O$66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B067-473A-9A29-86A8E64594BC}"/>
            </c:ext>
          </c:extLst>
        </c:ser>
        <c:ser>
          <c:idx val="23"/>
          <c:order val="23"/>
          <c:tx>
            <c:strRef>
              <c:f>'Для сводной'!$N$67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6">
                <a:lumMod val="8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сводной'!$O$67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B067-473A-9A29-86A8E64594BC}"/>
            </c:ext>
          </c:extLst>
        </c:ser>
        <c:ser>
          <c:idx val="24"/>
          <c:order val="24"/>
          <c:tx>
            <c:strRef>
              <c:f>'Для сводной'!$N$68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сводной'!$O$68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B067-473A-9A29-86A8E64594BC}"/>
            </c:ext>
          </c:extLst>
        </c:ser>
        <c:ser>
          <c:idx val="25"/>
          <c:order val="25"/>
          <c:tx>
            <c:strRef>
              <c:f>'Для сводной'!$N$69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сводной'!$O$69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B067-473A-9A29-86A8E64594BC}"/>
            </c:ext>
          </c:extLst>
        </c:ser>
        <c:ser>
          <c:idx val="26"/>
          <c:order val="26"/>
          <c:tx>
            <c:strRef>
              <c:f>'Для сводной'!$N$70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сводной'!$O$70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B067-473A-9A29-86A8E64594BC}"/>
            </c:ext>
          </c:extLst>
        </c:ser>
        <c:ser>
          <c:idx val="27"/>
          <c:order val="27"/>
          <c:tx>
            <c:strRef>
              <c:f>'Для сводной'!$N$71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сводной'!$O$71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B067-473A-9A29-86A8E64594BC}"/>
            </c:ext>
          </c:extLst>
        </c:ser>
        <c:ser>
          <c:idx val="28"/>
          <c:order val="28"/>
          <c:tx>
            <c:strRef>
              <c:f>'Для сводной'!$N$72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сводной'!$O$72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B067-473A-9A29-86A8E64594BC}"/>
            </c:ext>
          </c:extLst>
        </c:ser>
        <c:ser>
          <c:idx val="29"/>
          <c:order val="29"/>
          <c:tx>
            <c:strRef>
              <c:f>'Для сводной'!$N$73</c:f>
              <c:strCache>
                <c:ptCount val="1"/>
              </c:strCache>
            </c:strRef>
          </c:tx>
          <c:spPr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:spPr>
          <c:invertIfNegative val="1"/>
          <c:cat>
            <c:strRef>
              <c:f>'Для сводной'!$O$43</c:f>
              <c:strCache>
                <c:ptCount val="1"/>
                <c:pt idx="0">
                  <c:v>Sum из Стоимость</c:v>
                </c:pt>
              </c:strCache>
            </c:strRef>
          </c:cat>
          <c:val>
            <c:numRef>
              <c:f>'Для сводной'!$O$73</c:f>
              <c:numCache>
                <c:formatCode>General</c:formatCode>
                <c:ptCount val="1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prstGeom prst="rect">
                    <a:avLst/>
                  </a:prstGeom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B067-473A-9A29-86A8E6459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6169519"/>
        <c:axId val="1866169520"/>
      </c:barChart>
      <c:catAx>
        <c:axId val="186616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20"/>
        <c:crosses val="autoZero"/>
        <c:auto val="1"/>
        <c:lblAlgn val="ctr"/>
        <c:lblOffset val="100"/>
        <c:noMultiLvlLbl val="0"/>
      </c:catAx>
      <c:valAx>
        <c:axId val="1866169520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866169519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14073187" y="13136562"/>
      <a:ext cx="11382374" cy="681037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400"/>
              <a:t>Поставщики</a:t>
            </a:r>
            <a:endParaRPr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3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>
        <c:manualLayout>
          <c:layoutTarget val="inner"/>
          <c:xMode val="edge"/>
          <c:yMode val="edge"/>
          <c:x val="3.5400000000000001E-2"/>
          <c:y val="0.11441"/>
          <c:w val="0.95952999999999999"/>
          <c:h val="0.7929300000000000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431-4E23-8CF7-DE00E6A144C2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431-4E23-8CF7-DE00E6A144C2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431-4E23-8CF7-DE00E6A144C2}"/>
              </c:ext>
            </c:extLst>
          </c:dPt>
          <c:dLbls>
            <c:dLbl>
              <c:idx val="0"/>
              <c:layout>
                <c:manualLayout>
                  <c:x val="-3.0800000000000001E-2"/>
                  <c:y val="0.15751999999999999"/>
                </c:manualLayout>
              </c:layout>
              <c:tx>
                <c:rich>
                  <a:bodyPr/>
                  <a:lstStyle/>
                  <a:p>
                    <a:r>
                      <a:rPr sz="1600"/>
                      <a:t>766</a:t>
                    </a:r>
                    <a:endParaRPr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431-4E23-8CF7-DE00E6A144C2}"/>
                </c:ext>
              </c:extLst>
            </c:dLbl>
            <c:dLbl>
              <c:idx val="1"/>
              <c:layout>
                <c:manualLayout>
                  <c:x val="-0.10328"/>
                  <c:y val="8.6190000000000003E-2"/>
                </c:manualLayout>
              </c:layout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6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A431-4E23-8CF7-DE00E6A144C2}"/>
                </c:ext>
              </c:extLst>
            </c:dLbl>
            <c:dLbl>
              <c:idx val="2"/>
              <c:layout>
                <c:manualLayout>
                  <c:x val="3.5400000000000001E-2"/>
                  <c:y val="-0.11037"/>
                </c:manualLayout>
              </c:layout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6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A431-4E23-8CF7-DE00E6A144C2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Поставщики!$A$2:$A$4</c:f>
              <c:strCache>
                <c:ptCount val="3"/>
                <c:pt idx="0">
                  <c:v>"ChinaKO TM"</c:v>
                </c:pt>
                <c:pt idx="1">
                  <c:v>"Japfruit ComLTD"</c:v>
                </c:pt>
                <c:pt idx="2">
                  <c:v>&lt;&lt;ООО&gt;&gt;"Зарница"</c:v>
                </c:pt>
              </c:strCache>
            </c:strRef>
          </c:cat>
          <c:val>
            <c:numRef>
              <c:f>Поставщики!$B$2:$B$4</c:f>
              <c:numCache>
                <c:formatCode>General</c:formatCode>
                <c:ptCount val="3"/>
                <c:pt idx="0">
                  <c:v>886</c:v>
                </c:pt>
                <c:pt idx="1">
                  <c:v>356</c:v>
                </c:pt>
                <c:pt idx="2">
                  <c:v>3785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1-4E23-8CF7-DE00E6A144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3161392" y="69547"/>
      <a:ext cx="7509630" cy="457804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9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Яблоки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Яблоки!$A$4</c:f>
              <c:strCache>
                <c:ptCount val="1"/>
                <c:pt idx="0">
                  <c:v>Восток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Яблоки!$B$4</c:f>
              <c:numCache>
                <c:formatCode>General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2-465D-8B49-BAFA7626E1CE}"/>
            </c:ext>
          </c:extLst>
        </c:ser>
        <c:ser>
          <c:idx val="1"/>
          <c:order val="1"/>
          <c:tx>
            <c:strRef>
              <c:f>Яблоки!$A$5</c:f>
              <c:strCache>
                <c:ptCount val="1"/>
                <c:pt idx="0">
                  <c:v>Запад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val>
            <c:numRef>
              <c:f>Яблоки!$B$5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2-465D-8B49-BAFA7626E1CE}"/>
            </c:ext>
          </c:extLst>
        </c:ser>
        <c:ser>
          <c:idx val="2"/>
          <c:order val="2"/>
          <c:tx>
            <c:strRef>
              <c:f>Яблоки!$A$6</c:f>
              <c:strCache>
                <c:ptCount val="1"/>
                <c:pt idx="0">
                  <c:v>Север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val>
            <c:numRef>
              <c:f>Яблоки!$B$6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2-465D-8B49-BAFA7626E1CE}"/>
            </c:ext>
          </c:extLst>
        </c:ser>
        <c:ser>
          <c:idx val="3"/>
          <c:order val="3"/>
          <c:tx>
            <c:strRef>
              <c:f>Яблоки!$A$7</c:f>
              <c:strCache>
                <c:ptCount val="1"/>
                <c:pt idx="0">
                  <c:v>Юг</c:v>
                </c:pt>
              </c:strCache>
            </c:strRef>
          </c:tx>
          <c:spPr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val>
            <c:numRef>
              <c:f>Яблоки!$B$7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2-465D-8B49-BAFA7626E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40789911"/>
        <c:axId val="2140789912"/>
        <c:axId val="0"/>
      </c:bar3DChart>
      <c:catAx>
        <c:axId val="2140789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40789912"/>
        <c:crosses val="autoZero"/>
        <c:auto val="1"/>
        <c:lblAlgn val="ctr"/>
        <c:lblOffset val="100"/>
        <c:noMultiLvlLbl val="0"/>
      </c:catAx>
      <c:valAx>
        <c:axId val="214078991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214078991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4330699" y="1384299"/>
      <a:ext cx="9105899" cy="544829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7937</xdr:colOff>
      <xdr:row>10</xdr:row>
      <xdr:rowOff>31749</xdr:rowOff>
    </xdr:from>
    <xdr:to>
      <xdr:col>20</xdr:col>
      <xdr:colOff>349249</xdr:colOff>
      <xdr:row>35</xdr:row>
      <xdr:rowOff>166687</xdr:rowOff>
    </xdr:to>
    <xdr:graphicFrame macro="">
      <xdr:nvGraphicFramePr>
        <xdr:cNvPr id="1390840780" name="Диаграмма 1390840779">
          <a:extLst>
            <a:ext uri="{FF2B5EF4-FFF2-40B4-BE49-F238E27FC236}">
              <a16:creationId xmlns:a16="http://schemas.microsoft.com/office/drawing/2014/main" id="{00000000-0008-0000-0400-0000CC8BE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7937</xdr:colOff>
      <xdr:row>75</xdr:row>
      <xdr:rowOff>39686</xdr:rowOff>
    </xdr:from>
    <xdr:to>
      <xdr:col>27</xdr:col>
      <xdr:colOff>427037</xdr:colOff>
      <xdr:row>114</xdr:row>
      <xdr:rowOff>39686</xdr:rowOff>
    </xdr:to>
    <xdr:graphicFrame macro="">
      <xdr:nvGraphicFramePr>
        <xdr:cNvPr id="1991109535" name="Диаграмма 1991109534">
          <a:extLst>
            <a:ext uri="{FF2B5EF4-FFF2-40B4-BE49-F238E27FC236}">
              <a16:creationId xmlns:a16="http://schemas.microsoft.com/office/drawing/2014/main" id="{00000000-0008-0000-0400-00009FEBA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68035</xdr:colOff>
      <xdr:row>0</xdr:row>
      <xdr:rowOff>69547</xdr:rowOff>
    </xdr:from>
    <xdr:to>
      <xdr:col>15</xdr:col>
      <xdr:colOff>284238</xdr:colOff>
      <xdr:row>25</xdr:row>
      <xdr:rowOff>111880</xdr:rowOff>
    </xdr:to>
    <xdr:graphicFrame macro="">
      <xdr:nvGraphicFramePr>
        <xdr:cNvPr id="1154134290" name="Диаграмма 1154134289">
          <a:extLst>
            <a:ext uri="{FF2B5EF4-FFF2-40B4-BE49-F238E27FC236}">
              <a16:creationId xmlns:a16="http://schemas.microsoft.com/office/drawing/2014/main" id="{00000000-0008-0000-0500-000012B1C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165099</xdr:colOff>
      <xdr:row>7</xdr:row>
      <xdr:rowOff>139699</xdr:rowOff>
    </xdr:from>
    <xdr:to>
      <xdr:col>18</xdr:col>
      <xdr:colOff>126999</xdr:colOff>
      <xdr:row>38</xdr:row>
      <xdr:rowOff>76199</xdr:rowOff>
    </xdr:to>
    <xdr:graphicFrame macro="">
      <xdr:nvGraphicFramePr>
        <xdr:cNvPr id="1724494385" name="Диаграмма 1724494384">
          <a:extLst>
            <a:ext uri="{FF2B5EF4-FFF2-40B4-BE49-F238E27FC236}">
              <a16:creationId xmlns:a16="http://schemas.microsoft.com/office/drawing/2014/main" id="{00000000-0008-0000-0600-000031B2C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20" xr:uid="{00000000-000A-0000-FFFF-FFFF00000000}">
  <cacheSource type="worksheet">
    <worksheetSource name="Таблица12[]"/>
  </cacheSource>
  <cacheFields count="12">
    <cacheField name="Магазин" numFmtId="0">
      <sharedItems count="4">
        <s v="Восток"/>
        <s v="Запад"/>
        <s v="Север"/>
        <s v="Юг"/>
      </sharedItems>
    </cacheField>
    <cacheField name="Продукт" numFmtId="0">
      <sharedItems/>
    </cacheField>
    <cacheField name="Цена" numFmtId="0">
      <sharedItems containsSemiMixedTypes="0" containsString="0" containsNumber="1" containsInteger="1" minValue="42" maxValue="1000"/>
    </cacheField>
    <cacheField name="Кол-во прод в кг" numFmtId="0">
      <sharedItems containsSemiMixedTypes="0" containsString="0" containsNumber="1" containsInteger="1" minValue="2" maxValue="350"/>
    </cacheField>
    <cacheField name="Кол-во ост." numFmtId="0">
      <sharedItems containsSemiMixedTypes="0" containsString="0" containsNumber="1" containsInteger="1" minValue="0" maxValue="87"/>
    </cacheField>
    <cacheField name="Стоимость" numFmtId="0">
      <sharedItems containsSemiMixedTypes="0" containsString="0" containsNumber="1" containsInteger="1" minValue="240" maxValue="350000"/>
    </cacheField>
    <cacheField name="Поставщик" numFmtId="0">
      <sharedItems/>
    </cacheField>
    <cacheField name="Дата поставки" numFmtId="14">
      <sharedItems containsSemiMixedTypes="0" containsNonDate="0" containsDate="1" containsString="0" minDate="2026-02-17T00:00:00" maxDate="2026-02-21T00:00:00"/>
    </cacheField>
    <cacheField name="План. Дата поставки" numFmtId="14">
      <sharedItems containsSemiMixedTypes="0" containsNonDate="0" containsDate="1" containsString="0" minDate="2026-02-17T00:00:00" maxDate="2026-02-21T00:00:00"/>
    </cacheField>
    <cacheField name="Дата продажи" numFmtId="14">
      <sharedItems containsSemiMixedTypes="0" containsNonDate="0" containsDate="1" containsString="0" minDate="2026-02-19T00:00:00" maxDate="2026-02-26T00:00:00"/>
    </cacheField>
    <cacheField name="Сост. Доставки" numFmtId="0">
      <sharedItems/>
    </cacheField>
    <cacheField name="Количество" numFmtId="0">
      <sharedItems containsSemiMixedTypes="0" containsString="0" containsNumber="1" containsInteger="1" minValue="2" maxValue="4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20" xr:uid="{00000000-000A-0000-FFFF-FFFF01000000}">
  <cacheSource type="worksheet">
    <worksheetSource name="Таблица12[]"/>
  </cacheSource>
  <cacheFields count="12">
    <cacheField name="Магазин" numFmtId="0">
      <sharedItems/>
    </cacheField>
    <cacheField name="Продукт" numFmtId="0">
      <sharedItems count="30">
        <s v="Картофель"/>
        <s v="Огурцы"/>
        <s v="Помидоры"/>
        <s v="Свекла"/>
        <s v="Морковь"/>
        <s v="Абрикосы"/>
        <s v="Тыква"/>
        <s v="Яблоки"/>
        <s v="Авокадо"/>
        <s v="Пастернак"/>
        <s v="Черешня"/>
        <s v="Батат"/>
        <s v="Баклажан"/>
        <s v="Брокколи"/>
        <s v="Кукуруза"/>
        <s v="Брюква"/>
        <s v="Персики"/>
        <s v="Спаржа"/>
        <s v="Дайкон"/>
        <s v="Репа"/>
        <s v="Патиссон"/>
        <s v="Редис"/>
        <s v="Груши"/>
        <s v="Топинамбур"/>
        <s v="Кольраби"/>
        <s v="Капуста"/>
        <s v="Чеснок"/>
        <s v="Редька"/>
        <s v="Горох"/>
        <s v="Сельдерей"/>
      </sharedItems>
    </cacheField>
    <cacheField name="Цена" numFmtId="0">
      <sharedItems containsSemiMixedTypes="0" containsString="0" containsNumber="1" containsInteger="1" minValue="42" maxValue="1000"/>
    </cacheField>
    <cacheField name="Кол-во прод в кг" numFmtId="0">
      <sharedItems containsSemiMixedTypes="0" containsString="0" containsNumber="1" containsInteger="1" minValue="2" maxValue="350"/>
    </cacheField>
    <cacheField name="Кол-во ост." numFmtId="0">
      <sharedItems containsSemiMixedTypes="0" containsString="0" containsNumber="1" containsInteger="1" minValue="0" maxValue="87"/>
    </cacheField>
    <cacheField name="Стоимость" numFmtId="0">
      <sharedItems containsSemiMixedTypes="0" containsString="0" containsNumber="1" containsInteger="1" minValue="240" maxValue="350000"/>
    </cacheField>
    <cacheField name="Поставщик" numFmtId="0">
      <sharedItems/>
    </cacheField>
    <cacheField name="Дата поставки" numFmtId="14">
      <sharedItems containsSemiMixedTypes="0" containsNonDate="0" containsDate="1" containsString="0" minDate="2026-02-17T00:00:00" maxDate="2026-02-21T00:00:00"/>
    </cacheField>
    <cacheField name="План. Дата поставки" numFmtId="14">
      <sharedItems containsSemiMixedTypes="0" containsNonDate="0" containsDate="1" containsString="0" minDate="2026-02-17T00:00:00" maxDate="2026-02-21T00:00:00"/>
    </cacheField>
    <cacheField name="Дата продажи" numFmtId="14">
      <sharedItems containsSemiMixedTypes="0" containsNonDate="0" containsDate="1" containsString="0" minDate="2026-02-19T00:00:00" maxDate="2026-02-26T00:00:00"/>
    </cacheField>
    <cacheField name="Сост. Доставки" numFmtId="0">
      <sharedItems/>
    </cacheField>
    <cacheField name="Количество" numFmtId="0">
      <sharedItems containsSemiMixedTypes="0" containsString="0" containsNumber="1" containsInteger="1" minValue="2" maxValue="4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20" xr:uid="{00000000-000A-0000-FFFF-FFFF02000000}">
  <cacheSource type="worksheet">
    <worksheetSource ref="A1:L121" sheet="Для сводной"/>
  </cacheSource>
  <cacheFields count="12">
    <cacheField name="Магазин" numFmtId="0">
      <sharedItems/>
    </cacheField>
    <cacheField name="Продукт" numFmtId="0">
      <sharedItems/>
    </cacheField>
    <cacheField name="Цена" numFmtId="0">
      <sharedItems containsSemiMixedTypes="0" containsString="0" containsNumber="1" containsInteger="1" minValue="42" maxValue="1000"/>
    </cacheField>
    <cacheField name="Кол-во прод в кг" numFmtId="0">
      <sharedItems containsSemiMixedTypes="0" containsString="0" containsNumber="1" containsInteger="1" minValue="2" maxValue="350"/>
    </cacheField>
    <cacheField name="Кол-во ост." numFmtId="0">
      <sharedItems containsSemiMixedTypes="0" containsString="0" containsNumber="1" containsInteger="1" minValue="0" maxValue="87"/>
    </cacheField>
    <cacheField name="Стоимость" numFmtId="0">
      <sharedItems containsSemiMixedTypes="0" containsString="0" containsNumber="1" containsInteger="1" minValue="240" maxValue="350000"/>
    </cacheField>
    <cacheField name="Поставщик" numFmtId="0">
      <sharedItems count="3">
        <s v="&lt;&lt;ООО&gt;&gt;&quot;Зарница&quot;"/>
        <s v="&quot;ChinaKO TM&quot;"/>
        <s v="&quot;Japfruit ComLTD&quot;"/>
      </sharedItems>
    </cacheField>
    <cacheField name="Дата поставки" numFmtId="14">
      <sharedItems containsSemiMixedTypes="0" containsNonDate="0" containsDate="1" containsString="0" minDate="2026-02-17T00:00:00" maxDate="2026-02-21T00:00:00"/>
    </cacheField>
    <cacheField name="План. Дата поставки" numFmtId="14">
      <sharedItems containsSemiMixedTypes="0" containsNonDate="0" containsDate="1" containsString="0" minDate="2026-02-17T00:00:00" maxDate="2026-02-21T00:00:00"/>
    </cacheField>
    <cacheField name="Дата продажи" numFmtId="14">
      <sharedItems containsSemiMixedTypes="0" containsNonDate="0" containsDate="1" containsString="0" minDate="2026-02-19T00:00:00" maxDate="2026-02-26T00:00:00"/>
    </cacheField>
    <cacheField name="Сост. Доставки" numFmtId="0">
      <sharedItems count="2">
        <s v="Дост. в срок"/>
        <s v="Просрочена"/>
      </sharedItems>
    </cacheField>
    <cacheField name="Количество" numFmtId="0">
      <sharedItems containsSemiMixedTypes="0" containsString="0" containsNumber="1" containsInteger="1" minValue="2" maxValue="4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120" xr:uid="{00000000-000A-0000-FFFF-FFFF03000000}">
  <cacheSource type="worksheet">
    <worksheetSource name="Таблица12[]"/>
  </cacheSource>
  <cacheFields count="12">
    <cacheField name="Магазин" numFmtId="0">
      <sharedItems count="4">
        <s v="Восток"/>
        <s v="Запад"/>
        <s v="Север"/>
        <s v="Юг"/>
      </sharedItems>
    </cacheField>
    <cacheField name="Продукт" numFmtId="0">
      <sharedItems count="30">
        <s v="Картофель"/>
        <s v="Огурцы"/>
        <s v="Помидоры"/>
        <s v="Свекла"/>
        <s v="Морковь"/>
        <s v="Абрикосы"/>
        <s v="Тыква"/>
        <s v="Яблоки"/>
        <s v="Авокадо"/>
        <s v="Пастернак"/>
        <s v="Черешня"/>
        <s v="Батат"/>
        <s v="Баклажан"/>
        <s v="Брокколи"/>
        <s v="Кукуруза"/>
        <s v="Брюква"/>
        <s v="Персики"/>
        <s v="Спаржа"/>
        <s v="Дайкон"/>
        <s v="Репа"/>
        <s v="Патиссон"/>
        <s v="Редис"/>
        <s v="Груши"/>
        <s v="Топинамбур"/>
        <s v="Кольраби"/>
        <s v="Капуста"/>
        <s v="Чеснок"/>
        <s v="Редька"/>
        <s v="Горох"/>
        <s v="Сельдерей"/>
      </sharedItems>
    </cacheField>
    <cacheField name="Цена" numFmtId="0">
      <sharedItems containsSemiMixedTypes="0" containsString="0" containsNumber="1" containsInteger="1" minValue="42" maxValue="1000"/>
    </cacheField>
    <cacheField name="Кол-во прод в кг" numFmtId="0">
      <sharedItems containsSemiMixedTypes="0" containsString="0" containsNumber="1" containsInteger="1" minValue="2" maxValue="35000" count="34">
        <n v="250"/>
        <n v="120"/>
        <n v="100"/>
        <n v="54"/>
        <n v="40"/>
        <n v="20"/>
        <n v="50"/>
        <n v="35000"/>
        <n v="10"/>
        <n v="19"/>
        <n v="12"/>
        <n v="15"/>
        <n v="18"/>
        <n v="13"/>
        <n v="25"/>
        <n v="16"/>
        <n v="11"/>
        <n v="8"/>
        <n v="17"/>
        <n v="30"/>
        <n v="2"/>
        <n v="180"/>
        <n v="60"/>
        <n v="5"/>
        <n v="14"/>
        <n v="350"/>
        <n v="200"/>
        <n v="45"/>
        <n v="24"/>
        <n v="300"/>
        <n v="150"/>
        <n v="130"/>
        <n v="75"/>
        <n v="35"/>
      </sharedItems>
    </cacheField>
    <cacheField name="Кол-во ост." numFmtId="0">
      <sharedItems containsSemiMixedTypes="0" containsString="0" containsNumber="1" containsInteger="1" minValue="0" maxValue="8750" count="25">
        <n v="62"/>
        <n v="30"/>
        <n v="25"/>
        <n v="13"/>
        <n v="10"/>
        <n v="5"/>
        <n v="12"/>
        <n v="8750"/>
        <n v="2"/>
        <n v="4"/>
        <n v="3"/>
        <n v="6"/>
        <n v="7"/>
        <n v="0"/>
        <n v="45"/>
        <n v="15"/>
        <n v="1"/>
        <n v="87"/>
        <n v="50"/>
        <n v="11"/>
        <n v="75"/>
        <n v="37"/>
        <n v="32"/>
        <n v="18"/>
        <n v="8"/>
      </sharedItems>
    </cacheField>
    <cacheField name="Стоимость" numFmtId="0">
      <sharedItems containsSemiMixedTypes="0" containsString="0" containsNumber="1" containsInteger="1" minValue="240" maxValue="2730000"/>
    </cacheField>
    <cacheField name="Поставщик" numFmtId="0">
      <sharedItems/>
    </cacheField>
    <cacheField name="Дата поставки" numFmtId="14">
      <sharedItems containsSemiMixedTypes="0" containsNonDate="0" containsDate="1" containsString="0" minDate="2026-02-17T00:00:00" maxDate="2026-02-21T00:00:00"/>
    </cacheField>
    <cacheField name="План. Дата поставки" numFmtId="14">
      <sharedItems containsSemiMixedTypes="0" containsNonDate="0" containsDate="1" containsString="0" minDate="2026-02-17T00:00:00" maxDate="2026-02-21T00:00:00"/>
    </cacheField>
    <cacheField name="Дата продажи" numFmtId="14">
      <sharedItems containsSemiMixedTypes="0" containsNonDate="0" containsDate="1" containsString="0" minDate="2026-02-19T00:00:00" maxDate="2026-02-26T00:00:00"/>
    </cacheField>
    <cacheField name="Сост. Доставки" numFmtId="0">
      <sharedItems/>
    </cacheField>
    <cacheField name="Количество" numFmtId="0">
      <sharedItems containsSemiMixedTypes="0" containsString="0" containsNumber="1" containsInteger="1" minValue="2" maxValue="4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s v="Картофель"/>
    <n v="56"/>
    <n v="250"/>
    <n v="62"/>
    <n v="14000"/>
    <s v="&lt;&lt;ООО&gt;&gt;&quot;Зарница&quot;"/>
    <d v="2026-02-18T00:00:00"/>
    <d v="2026-02-18T00:00:00"/>
    <d v="2026-02-24T00:00:00"/>
    <s v="Дост. в срок"/>
    <n v="312"/>
  </r>
  <r>
    <x v="0"/>
    <s v="Огурцы"/>
    <n v="79"/>
    <n v="120"/>
    <n v="30"/>
    <n v="9480"/>
    <s v="&lt;&lt;ООО&gt;&gt;&quot;Зарница&quot;"/>
    <d v="2026-02-18T00:00:00"/>
    <d v="2026-02-18T00:00:00"/>
    <d v="2026-02-19T00:00:00"/>
    <s v="Дост. в срок"/>
    <n v="150"/>
  </r>
  <r>
    <x v="0"/>
    <s v="Помидоры"/>
    <n v="85"/>
    <n v="100"/>
    <n v="25"/>
    <n v="8500"/>
    <s v="&lt;&lt;ООО&gt;&gt;&quot;Зарница&quot;"/>
    <d v="2026-02-18T00:00:00"/>
    <d v="2026-02-18T00:00:00"/>
    <d v="2026-02-20T00:00:00"/>
    <s v="Дост. в срок"/>
    <n v="125"/>
  </r>
  <r>
    <x v="0"/>
    <s v="Свекла"/>
    <n v="78"/>
    <n v="54"/>
    <n v="13"/>
    <n v="4212"/>
    <s v="&lt;&lt;ООО&gt;&gt;&quot;Зарница&quot;"/>
    <d v="2026-02-18T00:00:00"/>
    <d v="2026-02-18T00:00:00"/>
    <d v="2026-02-19T00:00:00"/>
    <s v="Дост. в срок"/>
    <n v="67"/>
  </r>
  <r>
    <x v="0"/>
    <s v="Морковь"/>
    <n v="89"/>
    <n v="40"/>
    <n v="10"/>
    <n v="3560"/>
    <s v="&lt;&lt;ООО&gt;&gt;&quot;Зарница&quot;"/>
    <d v="2026-02-18T00:00:00"/>
    <d v="2026-02-18T00:00:00"/>
    <d v="2026-02-24T00:00:00"/>
    <s v="Дост. в срок"/>
    <n v="50"/>
  </r>
  <r>
    <x v="0"/>
    <s v="Абрикосы"/>
    <n v="170"/>
    <n v="20"/>
    <n v="5"/>
    <n v="3400"/>
    <s v="&quot;ChinaKO TM&quot;"/>
    <d v="2026-02-21T00:00:00"/>
    <d v="2026-02-21T00:00:00"/>
    <d v="2026-02-23T00:00:00"/>
    <s v="Дост. в срок"/>
    <n v="25"/>
  </r>
  <r>
    <x v="0"/>
    <s v="Тыква"/>
    <n v="65"/>
    <n v="50"/>
    <n v="12"/>
    <n v="3250"/>
    <s v="&lt;&lt;ООО&gt;&gt;&quot;Зарница&quot;"/>
    <d v="2026-02-18T00:00:00"/>
    <d v="2026-02-18T00:00:00"/>
    <d v="2026-02-25T00:00:00"/>
    <s v="Дост. в срок"/>
    <n v="62"/>
  </r>
  <r>
    <x v="0"/>
    <s v="Яблоки"/>
    <n v="78"/>
    <n v="35"/>
    <n v="8"/>
    <n v="2730"/>
    <s v="&quot;ChinaKO TM&quot;"/>
    <d v="2026-02-21T00:00:00"/>
    <d v="2026-02-21T00:00:00"/>
    <d v="2026-02-25T00:00:00"/>
    <s v="Дост. в срок"/>
    <n v="43"/>
  </r>
  <r>
    <x v="0"/>
    <s v="Авокадо"/>
    <n v="250"/>
    <n v="10"/>
    <n v="2"/>
    <n v="2500"/>
    <s v="&quot;Japfruit ComLTD&quot;"/>
    <d v="2026-02-20T00:00:00"/>
    <d v="2026-02-19T00:00:00"/>
    <d v="2026-02-23T00:00:00"/>
    <s v="Просрочена"/>
    <n v="12"/>
  </r>
  <r>
    <x v="0"/>
    <s v="Пастернак"/>
    <n v="125"/>
    <n v="19"/>
    <n v="4"/>
    <n v="2375"/>
    <s v="&lt;&lt;ООО&gt;&gt;&quot;Зарница&quot;"/>
    <d v="2026-02-18T00:00:00"/>
    <d v="2026-02-18T00:00:00"/>
    <d v="2026-02-24T00:00:00"/>
    <s v="Дост. в срок"/>
    <n v="23"/>
  </r>
  <r>
    <x v="0"/>
    <s v="Черешня"/>
    <n v="190"/>
    <n v="12"/>
    <n v="3"/>
    <n v="2280"/>
    <s v="&quot;ChinaKO TM&quot;"/>
    <d v="2026-02-21T00:00:00"/>
    <d v="2026-02-21T00:00:00"/>
    <d v="2026-02-23T00:00:00"/>
    <s v="Дост. в срок"/>
    <n v="15"/>
  </r>
  <r>
    <x v="0"/>
    <s v="Батат"/>
    <n v="142"/>
    <n v="15"/>
    <n v="3"/>
    <n v="2130"/>
    <s v="&quot;Japfruit ComLTD&quot;"/>
    <d v="2026-02-20T00:00:00"/>
    <d v="2026-02-19T00:00:00"/>
    <d v="2026-02-23T00:00:00"/>
    <s v="Просрочена"/>
    <n v="18"/>
  </r>
  <r>
    <x v="0"/>
    <s v="Баклажан"/>
    <n v="110"/>
    <n v="18"/>
    <n v="4"/>
    <n v="1980"/>
    <s v="&lt;&lt;ООО&gt;&gt;&quot;Зарница&quot;"/>
    <d v="2026-02-18T00:00:00"/>
    <d v="2026-02-18T00:00:00"/>
    <d v="2026-02-22T00:00:00"/>
    <s v="Дост. в срок"/>
    <n v="22"/>
  </r>
  <r>
    <x v="0"/>
    <s v="Брокколи"/>
    <n v="150"/>
    <n v="13"/>
    <n v="3"/>
    <n v="1950"/>
    <s v="&lt;&lt;ООО&gt;&gt;&quot;Зарница&quot;"/>
    <d v="2026-02-18T00:00:00"/>
    <d v="2026-02-18T00:00:00"/>
    <d v="2026-02-20T00:00:00"/>
    <s v="Дост. в срок"/>
    <n v="16"/>
  </r>
  <r>
    <x v="0"/>
    <s v="Кукуруза"/>
    <n v="76"/>
    <n v="25"/>
    <n v="6"/>
    <n v="1900"/>
    <s v="&lt;&lt;ООО&gt;&gt;&quot;Зарница&quot;"/>
    <d v="2026-02-18T00:00:00"/>
    <d v="2026-02-18T00:00:00"/>
    <d v="2026-02-24T00:00:00"/>
    <s v="Дост. в срок"/>
    <n v="31"/>
  </r>
  <r>
    <x v="0"/>
    <s v="Брюква"/>
    <n v="113"/>
    <n v="16"/>
    <n v="4"/>
    <n v="1808"/>
    <s v="&lt;&lt;ООО&gt;&gt;&quot;Зарница&quot;"/>
    <d v="2026-02-18T00:00:00"/>
    <d v="2026-02-18T00:00:00"/>
    <d v="2026-02-20T00:00:00"/>
    <s v="Дост. в срок"/>
    <n v="20"/>
  </r>
  <r>
    <x v="0"/>
    <s v="Персики"/>
    <n v="100"/>
    <n v="18"/>
    <n v="4"/>
    <n v="1800"/>
    <s v="&quot;ChinaKO TM&quot;"/>
    <d v="2026-02-21T00:00:00"/>
    <d v="2026-02-21T00:00:00"/>
    <d v="2026-02-22T00:00:00"/>
    <s v="Дост. в срок"/>
    <n v="22"/>
  </r>
  <r>
    <x v="0"/>
    <s v="Спаржа"/>
    <n v="163"/>
    <n v="11"/>
    <n v="2"/>
    <n v="1793"/>
    <s v="&quot;Japfruit ComLTD&quot;"/>
    <d v="2026-02-20T00:00:00"/>
    <d v="2026-02-19T00:00:00"/>
    <d v="2026-02-22T00:00:00"/>
    <s v="Просрочена"/>
    <n v="13"/>
  </r>
  <r>
    <x v="0"/>
    <s v="Дайкон"/>
    <n v="130"/>
    <n v="12"/>
    <n v="3"/>
    <n v="1560"/>
    <s v="&quot;Japfruit ComLTD&quot;"/>
    <d v="2026-02-20T00:00:00"/>
    <d v="2026-02-19T00:00:00"/>
    <d v="2026-02-23T00:00:00"/>
    <s v="Просрочена"/>
    <n v="15"/>
  </r>
  <r>
    <x v="0"/>
    <s v="Репа"/>
    <n v="82"/>
    <n v="19"/>
    <n v="4"/>
    <n v="1558"/>
    <s v="&lt;&lt;ООО&gt;&gt;&quot;Зарница&quot;"/>
    <d v="2026-02-18T00:00:00"/>
    <d v="2026-02-18T00:00:00"/>
    <d v="2026-02-24T00:00:00"/>
    <s v="Дост. в срок"/>
    <n v="23"/>
  </r>
  <r>
    <x v="0"/>
    <s v="Патиссон"/>
    <n v="96"/>
    <n v="16"/>
    <n v="4"/>
    <n v="1536"/>
    <s v="&lt;&lt;ООО&gt;&gt;&quot;Зарница&quot;"/>
    <d v="2026-02-18T00:00:00"/>
    <d v="2026-02-18T00:00:00"/>
    <d v="2026-02-20T00:00:00"/>
    <s v="Дост. в срок"/>
    <n v="20"/>
  </r>
  <r>
    <x v="0"/>
    <s v="Редис"/>
    <n v="95"/>
    <n v="16"/>
    <n v="4"/>
    <n v="1520"/>
    <s v="&lt;&lt;ООО&gt;&gt;&quot;Зарница&quot;"/>
    <d v="2026-02-18T00:00:00"/>
    <d v="2026-02-18T00:00:00"/>
    <d v="2026-02-19T00:00:00"/>
    <s v="Дост. в срок"/>
    <n v="20"/>
  </r>
  <r>
    <x v="0"/>
    <s v="Груши"/>
    <n v="120"/>
    <n v="12"/>
    <n v="3"/>
    <n v="1440"/>
    <s v="&quot;ChinaKO TM&quot;"/>
    <d v="2026-02-21T00:00:00"/>
    <d v="2026-02-21T00:00:00"/>
    <d v="2026-02-22T00:00:00"/>
    <s v="Дост. в срок"/>
    <n v="15"/>
  </r>
  <r>
    <x v="0"/>
    <s v="Топинамбур"/>
    <n v="105"/>
    <n v="13"/>
    <n v="3"/>
    <n v="1365"/>
    <s v="&quot;Japfruit ComLTD&quot;"/>
    <d v="2026-02-20T00:00:00"/>
    <d v="2026-02-19T00:00:00"/>
    <d v="2026-02-24T00:00:00"/>
    <s v="Просрочена"/>
    <n v="16"/>
  </r>
  <r>
    <x v="0"/>
    <s v="Кольраби"/>
    <n v="163"/>
    <n v="8"/>
    <n v="2"/>
    <n v="1304"/>
    <s v="&quot;Japfruit ComLTD&quot;"/>
    <d v="2026-02-20T00:00:00"/>
    <d v="2026-02-19T00:00:00"/>
    <d v="2026-02-21T00:00:00"/>
    <s v="Просрочена"/>
    <n v="10"/>
  </r>
  <r>
    <x v="0"/>
    <s v="Капуста"/>
    <n v="76"/>
    <n v="17"/>
    <n v="4"/>
    <n v="1292"/>
    <s v="&lt;&lt;ООО&gt;&gt;&quot;Зарница&quot;"/>
    <d v="2026-02-18T00:00:00"/>
    <d v="2026-02-18T00:00:00"/>
    <d v="2026-02-24T00:00:00"/>
    <s v="Дост. в срок"/>
    <n v="21"/>
  </r>
  <r>
    <x v="0"/>
    <s v="Чеснок"/>
    <n v="42"/>
    <n v="30"/>
    <n v="7"/>
    <n v="1260"/>
    <s v="&lt;&lt;ООО&gt;&gt;&quot;Зарница&quot;"/>
    <d v="2026-02-18T00:00:00"/>
    <d v="2026-02-18T00:00:00"/>
    <d v="2026-02-24T00:00:00"/>
    <s v="Дост. в срок"/>
    <n v="37"/>
  </r>
  <r>
    <x v="0"/>
    <s v="Редька"/>
    <n v="90"/>
    <n v="12"/>
    <n v="3"/>
    <n v="1080"/>
    <s v="&lt;&lt;ООО&gt;&gt;&quot;Зарница&quot;"/>
    <d v="2026-02-18T00:00:00"/>
    <d v="2026-02-18T00:00:00"/>
    <d v="2026-02-25T00:00:00"/>
    <s v="Дост. в срок"/>
    <n v="15"/>
  </r>
  <r>
    <x v="0"/>
    <s v="Горох"/>
    <n v="102"/>
    <n v="10"/>
    <n v="2"/>
    <n v="1020"/>
    <s v="&lt;&lt;ООО&gt;&gt;&quot;Зарница&quot;"/>
    <d v="2026-02-18T00:00:00"/>
    <d v="2026-02-18T00:00:00"/>
    <d v="2026-02-20T00:00:00"/>
    <s v="Дост. в срок"/>
    <n v="12"/>
  </r>
  <r>
    <x v="0"/>
    <s v="Сельдерей"/>
    <n v="120"/>
    <n v="2"/>
    <n v="0"/>
    <n v="240"/>
    <s v="&quot;Japfruit ComLTD&quot;"/>
    <d v="2026-02-20T00:00:00"/>
    <d v="2026-02-19T00:00:00"/>
    <d v="2026-02-23T00:00:00"/>
    <s v="Просрочена"/>
    <n v="2"/>
  </r>
  <r>
    <x v="1"/>
    <s v="Картофель"/>
    <n v="65"/>
    <n v="180"/>
    <n v="45"/>
    <n v="11700"/>
    <s v="&lt;&lt;ООО&gt;&gt;&quot;Зарница&quot;"/>
    <d v="2026-02-17T00:00:00"/>
    <d v="2026-02-17T00:00:00"/>
    <d v="2026-02-23T00:00:00"/>
    <s v="Дост. в срок"/>
    <n v="225"/>
  </r>
  <r>
    <x v="1"/>
    <s v="Помидоры"/>
    <n v="110"/>
    <n v="50"/>
    <n v="12"/>
    <n v="5500"/>
    <s v="&lt;&lt;ООО&gt;&gt;&quot;Зарница&quot;"/>
    <d v="2026-02-17T00:00:00"/>
    <d v="2026-02-17T00:00:00"/>
    <d v="2026-02-19T00:00:00"/>
    <s v="Дост. в срок"/>
    <n v="62"/>
  </r>
  <r>
    <x v="1"/>
    <s v="Огурцы"/>
    <n v="90"/>
    <n v="60"/>
    <n v="15"/>
    <n v="5400"/>
    <s v="&lt;&lt;ООО&gt;&gt;&quot;Зарница&quot;"/>
    <d v="2026-02-17T00:00:00"/>
    <d v="2026-02-17T00:00:00"/>
    <d v="2026-02-19T00:00:00"/>
    <s v="Дост. в срок"/>
    <n v="75"/>
  </r>
  <r>
    <x v="1"/>
    <s v="Абрикосы"/>
    <n v="180"/>
    <n v="20"/>
    <n v="5"/>
    <n v="3600"/>
    <s v="&quot;ChinaKO TM&quot;"/>
    <d v="2026-02-20T00:00:00"/>
    <d v="2026-02-18T00:00:00"/>
    <d v="2026-02-23T00:00:00"/>
    <s v="Просрочена"/>
    <n v="25"/>
  </r>
  <r>
    <x v="1"/>
    <s v="Яблоки"/>
    <n v="78"/>
    <n v="40"/>
    <n v="10"/>
    <n v="3120"/>
    <s v="&quot;ChinaKO TM&quot;"/>
    <d v="2026-02-20T00:00:00"/>
    <d v="2026-02-18T00:00:00"/>
    <d v="2026-02-25T00:00:00"/>
    <s v="Просрочена"/>
    <n v="50"/>
  </r>
  <r>
    <x v="1"/>
    <s v="Морковь"/>
    <n v="100"/>
    <n v="30"/>
    <n v="7"/>
    <n v="3000"/>
    <s v="&lt;&lt;ООО&gt;&gt;&quot;Зарница&quot;"/>
    <d v="2026-02-17T00:00:00"/>
    <d v="2026-02-17T00:00:00"/>
    <d v="2026-02-20T00:00:00"/>
    <s v="Дост. в срок"/>
    <n v="37"/>
  </r>
  <r>
    <x v="1"/>
    <s v="Черешня"/>
    <n v="220"/>
    <n v="12"/>
    <n v="3"/>
    <n v="2640"/>
    <s v="&quot;ChinaKO TM&quot;"/>
    <d v="2026-02-20T00:00:00"/>
    <d v="2026-02-18T00:00:00"/>
    <d v="2026-02-22T00:00:00"/>
    <s v="Просрочена"/>
    <n v="15"/>
  </r>
  <r>
    <x v="1"/>
    <s v="Пастернак"/>
    <n v="125"/>
    <n v="20"/>
    <n v="5"/>
    <n v="2500"/>
    <s v="&lt;&lt;ООО&gt;&gt;&quot;Зарница&quot;"/>
    <d v="2026-02-17T00:00:00"/>
    <d v="2026-02-17T00:00:00"/>
    <d v="2026-02-24T00:00:00"/>
    <s v="Дост. в срок"/>
    <n v="25"/>
  </r>
  <r>
    <x v="1"/>
    <s v="Свекла"/>
    <n v="78"/>
    <n v="30"/>
    <n v="7"/>
    <n v="2340"/>
    <s v="&lt;&lt;ООО&gt;&gt;&quot;Зарница&quot;"/>
    <d v="2026-02-17T00:00:00"/>
    <d v="2026-02-17T00:00:00"/>
    <d v="2026-02-19T00:00:00"/>
    <s v="Дост. в срок"/>
    <n v="37"/>
  </r>
  <r>
    <x v="1"/>
    <s v="Баклажан"/>
    <n v="120"/>
    <n v="18"/>
    <n v="4"/>
    <n v="2160"/>
    <s v="&lt;&lt;ООО&gt;&gt;&quot;Зарница&quot;"/>
    <d v="2026-02-17T00:00:00"/>
    <d v="2026-02-17T00:00:00"/>
    <d v="2026-02-26T00:00:00"/>
    <s v="Дост. в срок"/>
    <n v="22"/>
  </r>
  <r>
    <x v="1"/>
    <s v="Горох"/>
    <n v="120"/>
    <n v="17"/>
    <n v="4"/>
    <n v="2040"/>
    <s v="&lt;&lt;ООО&gt;&gt;&quot;Зарница&quot;"/>
    <d v="2026-02-17T00:00:00"/>
    <d v="2026-02-17T00:00:00"/>
    <d v="2026-02-20T00:00:00"/>
    <s v="Дост. в срок"/>
    <n v="21"/>
  </r>
  <r>
    <x v="1"/>
    <s v="Брюква"/>
    <n v="123"/>
    <n v="16"/>
    <n v="4"/>
    <n v="1968"/>
    <s v="&lt;&lt;ООО&gt;&gt;&quot;Зарница&quot;"/>
    <d v="2026-02-17T00:00:00"/>
    <d v="2026-02-17T00:00:00"/>
    <d v="2026-02-20T00:00:00"/>
    <s v="Дост. в срок"/>
    <n v="20"/>
  </r>
  <r>
    <x v="1"/>
    <s v="Кукуруза"/>
    <n v="78"/>
    <n v="25"/>
    <n v="6"/>
    <n v="1950"/>
    <s v="&lt;&lt;ООО&gt;&gt;&quot;Зарница&quot;"/>
    <d v="2026-02-17T00:00:00"/>
    <d v="2026-02-17T00:00:00"/>
    <d v="2026-02-24T00:00:00"/>
    <s v="Дост. в срок"/>
    <n v="31"/>
  </r>
  <r>
    <x v="1"/>
    <s v="Дайкон"/>
    <n v="150"/>
    <n v="12"/>
    <n v="3"/>
    <n v="1800"/>
    <s v="&quot;Japfruit ComLTD&quot;"/>
    <d v="2026-02-19T00:00:00"/>
    <d v="2026-02-19T00:00:00"/>
    <d v="2026-02-24T00:00:00"/>
    <s v="Дост. в срок"/>
    <n v="15"/>
  </r>
  <r>
    <x v="1"/>
    <s v="Спаржа"/>
    <n v="163"/>
    <n v="11"/>
    <n v="2"/>
    <n v="1793"/>
    <s v="&quot;Japfruit ComLTD&quot;"/>
    <d v="2026-02-19T00:00:00"/>
    <d v="2026-02-19T00:00:00"/>
    <d v="2026-02-22T00:00:00"/>
    <s v="Дост. в срок"/>
    <n v="13"/>
  </r>
  <r>
    <x v="1"/>
    <s v="Репа"/>
    <n v="90"/>
    <n v="19"/>
    <n v="4"/>
    <n v="1710"/>
    <s v="&lt;&lt;ООО&gt;&gt;&quot;Зарница&quot;"/>
    <d v="2026-02-17T00:00:00"/>
    <d v="2026-02-17T00:00:00"/>
    <d v="2026-02-24T00:00:00"/>
    <s v="Дост. в срок"/>
    <n v="23"/>
  </r>
  <r>
    <x v="1"/>
    <s v="Батат"/>
    <n v="170"/>
    <n v="10"/>
    <n v="2"/>
    <n v="1700"/>
    <s v="&quot;Japfruit ComLTD&quot;"/>
    <d v="2026-02-19T00:00:00"/>
    <d v="2026-02-19T00:00:00"/>
    <d v="2026-02-23T00:00:00"/>
    <s v="Дост. в срок"/>
    <n v="12"/>
  </r>
  <r>
    <x v="1"/>
    <s v="Брокколи"/>
    <n v="160"/>
    <n v="10"/>
    <n v="2"/>
    <n v="1600"/>
    <s v="&lt;&lt;ООО&gt;&gt;&quot;Зарница&quot;"/>
    <d v="2026-02-17T00:00:00"/>
    <d v="2026-02-17T00:00:00"/>
    <d v="2026-02-19T00:00:00"/>
    <s v="Дост. в срок"/>
    <n v="12"/>
  </r>
  <r>
    <x v="1"/>
    <s v="Персики"/>
    <n v="120"/>
    <n v="13"/>
    <n v="3"/>
    <n v="1560"/>
    <s v="&quot;ChinaKO TM&quot;"/>
    <d v="2026-02-20T00:00:00"/>
    <d v="2026-02-18T00:00:00"/>
    <d v="2026-02-21T00:00:00"/>
    <s v="Просрочена"/>
    <n v="16"/>
  </r>
  <r>
    <x v="1"/>
    <s v="Редис"/>
    <n v="95"/>
    <n v="16"/>
    <n v="4"/>
    <n v="1520"/>
    <s v="&lt;&lt;ООО&gt;&gt;&quot;Зарница&quot;"/>
    <d v="2026-02-17T00:00:00"/>
    <d v="2026-02-17T00:00:00"/>
    <d v="2026-02-19T00:00:00"/>
    <s v="Дост. в срок"/>
    <n v="20"/>
  </r>
  <r>
    <x v="1"/>
    <s v="Груши"/>
    <n v="120"/>
    <n v="12"/>
    <n v="3"/>
    <n v="1440"/>
    <s v="&quot;ChinaKO TM&quot;"/>
    <d v="2026-02-20T00:00:00"/>
    <d v="2026-02-18T00:00:00"/>
    <d v="2026-02-22T00:00:00"/>
    <s v="Просрочена"/>
    <n v="15"/>
  </r>
  <r>
    <x v="1"/>
    <s v="Авокадо"/>
    <n v="280"/>
    <n v="5"/>
    <n v="1"/>
    <n v="1400"/>
    <s v="&quot;Japfruit ComLTD&quot;"/>
    <d v="2026-02-19T00:00:00"/>
    <d v="2026-02-19T00:00:00"/>
    <d v="2026-02-22T00:00:00"/>
    <s v="Дост. в срок"/>
    <n v="6"/>
  </r>
  <r>
    <x v="1"/>
    <s v="Тыква"/>
    <n v="70"/>
    <n v="20"/>
    <n v="5"/>
    <n v="1400"/>
    <s v="&lt;&lt;ООО&gt;&gt;&quot;Зарница&quot;"/>
    <d v="2026-02-17T00:00:00"/>
    <d v="2026-02-17T00:00:00"/>
    <d v="2026-02-24T00:00:00"/>
    <s v="Дост. в срок"/>
    <n v="25"/>
  </r>
  <r>
    <x v="1"/>
    <s v="Патиссон"/>
    <n v="99"/>
    <n v="14"/>
    <n v="3"/>
    <n v="1386"/>
    <s v="&lt;&lt;ООО&gt;&gt;&quot;Зарница&quot;"/>
    <d v="2026-02-17T00:00:00"/>
    <d v="2026-02-17T00:00:00"/>
    <d v="2026-02-20T00:00:00"/>
    <s v="Дост. в срок"/>
    <n v="17"/>
  </r>
  <r>
    <x v="1"/>
    <s v="Топинамбур"/>
    <n v="105"/>
    <n v="13"/>
    <n v="3"/>
    <n v="1365"/>
    <s v="&quot;Japfruit ComLTD&quot;"/>
    <d v="2026-02-19T00:00:00"/>
    <d v="2026-02-19T00:00:00"/>
    <d v="2026-02-24T00:00:00"/>
    <s v="Дост. в срок"/>
    <n v="16"/>
  </r>
  <r>
    <x v="1"/>
    <s v="Капуста"/>
    <n v="80"/>
    <n v="14"/>
    <n v="3"/>
    <n v="1120"/>
    <s v="&lt;&lt;ООО&gt;&gt;&quot;Зарница&quot;"/>
    <d v="2026-02-17T00:00:00"/>
    <d v="2026-02-17T00:00:00"/>
    <d v="2026-02-24T00:00:00"/>
    <s v="Дост. в срок"/>
    <n v="17"/>
  </r>
  <r>
    <x v="1"/>
    <s v="Редька"/>
    <n v="100"/>
    <n v="10"/>
    <n v="2"/>
    <n v="1000"/>
    <s v="&lt;&lt;ООО&gt;&gt;&quot;Зарница&quot;"/>
    <d v="2026-02-17T00:00:00"/>
    <d v="2026-02-17T00:00:00"/>
    <d v="2026-02-25T00:00:00"/>
    <s v="Дост. в срок"/>
    <n v="12"/>
  </r>
  <r>
    <x v="1"/>
    <s v="Кольраби"/>
    <n v="186"/>
    <n v="5"/>
    <n v="1"/>
    <n v="930"/>
    <s v="&quot;Japfruit ComLTD&quot;"/>
    <d v="2026-02-19T00:00:00"/>
    <d v="2026-02-19T00:00:00"/>
    <d v="2026-02-21T00:00:00"/>
    <s v="Дост. в срок"/>
    <n v="6"/>
  </r>
  <r>
    <x v="1"/>
    <s v="Чеснок"/>
    <n v="42"/>
    <n v="20"/>
    <n v="5"/>
    <n v="840"/>
    <s v="&lt;&lt;ООО&gt;&gt;&quot;Зарница&quot;"/>
    <d v="2026-02-17T00:00:00"/>
    <d v="2026-02-17T00:00:00"/>
    <d v="2026-02-24T00:00:00"/>
    <s v="Дост. в срок"/>
    <n v="25"/>
  </r>
  <r>
    <x v="1"/>
    <s v="Сельдерей"/>
    <n v="120"/>
    <n v="2"/>
    <n v="0"/>
    <n v="240"/>
    <s v="&quot;Japfruit ComLTD&quot;"/>
    <d v="2026-02-19T00:00:00"/>
    <d v="2026-02-19T00:00:00"/>
    <d v="2026-02-23T00:00:00"/>
    <s v="Дост. в срок"/>
    <n v="2"/>
  </r>
  <r>
    <x v="2"/>
    <s v="Яблоки"/>
    <n v="1000"/>
    <n v="350"/>
    <n v="87"/>
    <n v="350000"/>
    <s v="&quot;ChinaKO TM&quot;"/>
    <d v="2026-02-20T00:00:00"/>
    <d v="2026-02-19T00:00:00"/>
    <d v="2026-02-19T00:00:00"/>
    <s v="Просрочена"/>
    <n v="437"/>
  </r>
  <r>
    <x v="2"/>
    <s v="Картофель"/>
    <n v="60"/>
    <n v="200"/>
    <n v="50"/>
    <n v="12000"/>
    <s v="&lt;&lt;ООО&gt;&gt;&quot;Зарница&quot;"/>
    <d v="2026-02-17T00:00:00"/>
    <d v="2026-02-17T00:00:00"/>
    <d v="2026-02-23T00:00:00"/>
    <s v="Дост. в срок"/>
    <n v="250"/>
  </r>
  <r>
    <x v="2"/>
    <s v="Огурцы"/>
    <n v="85"/>
    <n v="100"/>
    <n v="25"/>
    <n v="8500"/>
    <s v="&lt;&lt;ООО&gt;&gt;&quot;Зарница&quot;"/>
    <d v="2026-02-17T00:00:00"/>
    <d v="2026-02-17T00:00:00"/>
    <d v="2026-02-19T00:00:00"/>
    <s v="Дост. в срок"/>
    <n v="125"/>
  </r>
  <r>
    <x v="2"/>
    <s v="Свекла"/>
    <n v="88"/>
    <n v="54"/>
    <n v="13"/>
    <n v="4752"/>
    <s v="&lt;&lt;ООО&gt;&gt;&quot;Зарница&quot;"/>
    <d v="2026-02-17T00:00:00"/>
    <d v="2026-02-17T00:00:00"/>
    <d v="2026-02-23T00:00:00"/>
    <s v="Дост. в срок"/>
    <n v="67"/>
  </r>
  <r>
    <x v="2"/>
    <s v="Помидоры"/>
    <n v="90"/>
    <n v="50"/>
    <n v="12"/>
    <n v="4500"/>
    <s v="&lt;&lt;ООО&gt;&gt;&quot;Зарница&quot;"/>
    <d v="2026-02-17T00:00:00"/>
    <d v="2026-02-17T00:00:00"/>
    <d v="2026-02-19T00:00:00"/>
    <s v="Дост. в срок"/>
    <n v="62"/>
  </r>
  <r>
    <x v="2"/>
    <s v="Морковь"/>
    <n v="95"/>
    <n v="45"/>
    <n v="11"/>
    <n v="4275"/>
    <s v="&lt;&lt;ООО&gt;&gt;&quot;Зарница&quot;"/>
    <d v="2026-02-17T00:00:00"/>
    <d v="2026-02-17T00:00:00"/>
    <d v="2026-02-22T00:00:00"/>
    <s v="Дост. в срок"/>
    <n v="56"/>
  </r>
  <r>
    <x v="2"/>
    <s v="Авокадо"/>
    <n v="270"/>
    <n v="15"/>
    <n v="3"/>
    <n v="4050"/>
    <s v="&quot;Japfruit ComLTD&quot;"/>
    <d v="2026-02-18T00:00:00"/>
    <d v="2026-02-18T00:00:00"/>
    <d v="2026-02-23T00:00:00"/>
    <s v="Дост. в срок"/>
    <n v="18"/>
  </r>
  <r>
    <x v="2"/>
    <s v="Кольраби"/>
    <n v="190"/>
    <n v="19"/>
    <n v="4"/>
    <n v="3610"/>
    <s v="&quot;Japfruit ComLTD&quot;"/>
    <d v="2026-02-18T00:00:00"/>
    <d v="2026-02-18T00:00:00"/>
    <d v="2026-02-19T00:00:00"/>
    <s v="Дост. в срок"/>
    <n v="23"/>
  </r>
  <r>
    <x v="2"/>
    <s v="Батат"/>
    <n v="150"/>
    <n v="24"/>
    <n v="6"/>
    <n v="3600"/>
    <s v="&quot;Japfruit ComLTD&quot;"/>
    <d v="2026-02-18T00:00:00"/>
    <d v="2026-02-18T00:00:00"/>
    <d v="2026-02-19T00:00:00"/>
    <s v="Дост. в срок"/>
    <n v="30"/>
  </r>
  <r>
    <x v="2"/>
    <s v="Абрикосы"/>
    <n v="170"/>
    <n v="20"/>
    <n v="5"/>
    <n v="3400"/>
    <s v="&quot;ChinaKO TM&quot;"/>
    <d v="2026-02-20T00:00:00"/>
    <d v="2026-02-19T00:00:00"/>
    <d v="2026-02-19T00:00:00"/>
    <s v="Просрочена"/>
    <n v="25"/>
  </r>
  <r>
    <x v="2"/>
    <s v="Груши"/>
    <n v="150"/>
    <n v="20"/>
    <n v="5"/>
    <n v="3000"/>
    <s v="&quot;ChinaKO TM&quot;"/>
    <d v="2026-02-20T00:00:00"/>
    <d v="2026-02-19T00:00:00"/>
    <d v="2026-02-22T00:00:00"/>
    <s v="Просрочена"/>
    <n v="25"/>
  </r>
  <r>
    <x v="2"/>
    <s v="Тыква"/>
    <n v="70"/>
    <n v="40"/>
    <n v="10"/>
    <n v="2800"/>
    <s v="&lt;&lt;ООО&gt;&gt;&quot;Зарница&quot;"/>
    <d v="2026-02-17T00:00:00"/>
    <d v="2026-02-17T00:00:00"/>
    <d v="2026-02-23T00:00:00"/>
    <s v="Дост. в срок"/>
    <n v="50"/>
  </r>
  <r>
    <x v="2"/>
    <s v="Пастернак"/>
    <n v="125"/>
    <n v="19"/>
    <n v="4"/>
    <n v="2375"/>
    <s v="&lt;&lt;ООО&gt;&gt;&quot;Зарница&quot;"/>
    <d v="2026-02-17T00:00:00"/>
    <d v="2026-02-17T00:00:00"/>
    <d v="2026-02-23T00:00:00"/>
    <s v="Дост. в срок"/>
    <n v="23"/>
  </r>
  <r>
    <x v="2"/>
    <s v="Персики"/>
    <n v="120"/>
    <n v="19"/>
    <n v="4"/>
    <n v="2280"/>
    <s v="&quot;ChinaKO TM&quot;"/>
    <d v="2026-02-20T00:00:00"/>
    <d v="2026-02-19T00:00:00"/>
    <d v="2026-02-19T00:00:00"/>
    <s v="Просрочена"/>
    <n v="23"/>
  </r>
  <r>
    <x v="2"/>
    <s v="Черешня"/>
    <n v="190"/>
    <n v="12"/>
    <n v="3"/>
    <n v="2280"/>
    <s v="&quot;ChinaKO TM&quot;"/>
    <d v="2026-02-20T00:00:00"/>
    <d v="2026-02-19T00:00:00"/>
    <d v="2026-02-19T00:00:00"/>
    <s v="Просрочена"/>
    <n v="15"/>
  </r>
  <r>
    <x v="2"/>
    <s v="Баклажан"/>
    <n v="110"/>
    <n v="18"/>
    <n v="4"/>
    <n v="1980"/>
    <s v="&lt;&lt;ООО&gt;&gt;&quot;Зарница&quot;"/>
    <d v="2026-02-17T00:00:00"/>
    <d v="2026-02-17T00:00:00"/>
    <d v="2026-02-22T00:00:00"/>
    <s v="Дост. в срок"/>
    <n v="22"/>
  </r>
  <r>
    <x v="2"/>
    <s v="Редис"/>
    <n v="120"/>
    <n v="16"/>
    <n v="4"/>
    <n v="1920"/>
    <s v="&lt;&lt;ООО&gt;&gt;&quot;Зарница&quot;"/>
    <d v="2026-02-17T00:00:00"/>
    <d v="2026-02-17T00:00:00"/>
    <d v="2026-02-23T00:00:00"/>
    <s v="Дост. в срок"/>
    <n v="20"/>
  </r>
  <r>
    <x v="2"/>
    <s v="Брюква"/>
    <n v="113"/>
    <n v="16"/>
    <n v="4"/>
    <n v="1808"/>
    <s v="&lt;&lt;ООО&gt;&gt;&quot;Зарница&quot;"/>
    <d v="2026-02-17T00:00:00"/>
    <d v="2026-02-17T00:00:00"/>
    <d v="2026-02-19T00:00:00"/>
    <s v="Дост. в срок"/>
    <n v="20"/>
  </r>
  <r>
    <x v="2"/>
    <s v="Горох"/>
    <n v="120"/>
    <n v="15"/>
    <n v="3"/>
    <n v="1800"/>
    <s v="&lt;&lt;ООО&gt;&gt;&quot;Зарница&quot;"/>
    <d v="2026-02-17T00:00:00"/>
    <d v="2026-02-17T00:00:00"/>
    <d v="2026-02-22T00:00:00"/>
    <s v="Дост. в срок"/>
    <n v="18"/>
  </r>
  <r>
    <x v="2"/>
    <s v="Спаржа"/>
    <n v="163"/>
    <n v="11"/>
    <n v="2"/>
    <n v="1793"/>
    <s v="&quot;Japfruit ComLTD&quot;"/>
    <d v="2026-02-18T00:00:00"/>
    <d v="2026-02-18T00:00:00"/>
    <d v="2026-02-22T00:00:00"/>
    <s v="Дост. в срок"/>
    <n v="13"/>
  </r>
  <r>
    <x v="2"/>
    <s v="Репа"/>
    <n v="90"/>
    <n v="19"/>
    <n v="4"/>
    <n v="1710"/>
    <s v="&lt;&lt;ООО&gt;&gt;&quot;Зарница&quot;"/>
    <d v="2026-02-17T00:00:00"/>
    <d v="2026-02-17T00:00:00"/>
    <d v="2026-02-23T00:00:00"/>
    <s v="Дост. в срок"/>
    <n v="23"/>
  </r>
  <r>
    <x v="2"/>
    <s v="Брокколи"/>
    <n v="170"/>
    <n v="10"/>
    <n v="2"/>
    <n v="1700"/>
    <s v="&lt;&lt;ООО&gt;&gt;&quot;Зарница&quot;"/>
    <d v="2026-02-17T00:00:00"/>
    <d v="2026-02-17T00:00:00"/>
    <d v="2026-02-19T00:00:00"/>
    <s v="Дост. в срок"/>
    <n v="12"/>
  </r>
  <r>
    <x v="2"/>
    <s v="Капуста"/>
    <n v="90"/>
    <n v="18"/>
    <n v="4"/>
    <n v="1620"/>
    <s v="&lt;&lt;ООО&gt;&gt;&quot;Зарница&quot;"/>
    <d v="2026-02-17T00:00:00"/>
    <d v="2026-02-17T00:00:00"/>
    <d v="2026-02-23T00:00:00"/>
    <s v="Дост. в срок"/>
    <n v="22"/>
  </r>
  <r>
    <x v="2"/>
    <s v="Чеснок"/>
    <n v="70"/>
    <n v="20"/>
    <n v="5"/>
    <n v="1400"/>
    <s v="&lt;&lt;ООО&gt;&gt;&quot;Зарница&quot;"/>
    <d v="2026-02-17T00:00:00"/>
    <d v="2026-02-17T00:00:00"/>
    <d v="2026-02-22T00:00:00"/>
    <s v="Дост. в срок"/>
    <n v="25"/>
  </r>
  <r>
    <x v="2"/>
    <s v="Топинамбур"/>
    <n v="105"/>
    <n v="13"/>
    <n v="3"/>
    <n v="1365"/>
    <s v="&quot;Japfruit ComLTD&quot;"/>
    <d v="2026-02-18T00:00:00"/>
    <d v="2026-02-18T00:00:00"/>
    <d v="2026-02-23T00:00:00"/>
    <s v="Дост. в срок"/>
    <n v="16"/>
  </r>
  <r>
    <x v="2"/>
    <s v="Патиссон"/>
    <n v="96"/>
    <n v="14"/>
    <n v="3"/>
    <n v="1344"/>
    <s v="&lt;&lt;ООО&gt;&gt;&quot;Зарница&quot;"/>
    <d v="2026-02-17T00:00:00"/>
    <d v="2026-02-17T00:00:00"/>
    <d v="2026-02-23T00:00:00"/>
    <s v="Дост. в срок"/>
    <n v="17"/>
  </r>
  <r>
    <x v="2"/>
    <s v="Дайкон"/>
    <n v="130"/>
    <n v="10"/>
    <n v="2"/>
    <n v="1300"/>
    <s v="&quot;Japfruit ComLTD&quot;"/>
    <d v="2026-02-18T00:00:00"/>
    <d v="2026-02-18T00:00:00"/>
    <d v="2026-02-19T00:00:00"/>
    <s v="Дост. в срок"/>
    <n v="12"/>
  </r>
  <r>
    <x v="2"/>
    <s v="Кукуруза"/>
    <n v="76"/>
    <n v="15"/>
    <n v="3"/>
    <n v="1140"/>
    <s v="&lt;&lt;ООО&gt;&gt;&quot;Зарница&quot;"/>
    <d v="2026-02-17T00:00:00"/>
    <d v="2026-02-17T00:00:00"/>
    <d v="2026-02-23T00:00:00"/>
    <s v="Дост. в срок"/>
    <n v="18"/>
  </r>
  <r>
    <x v="2"/>
    <s v="Редька"/>
    <n v="90"/>
    <n v="12"/>
    <n v="3"/>
    <n v="1080"/>
    <s v="&lt;&lt;ООО&gt;&gt;&quot;Зарница&quot;"/>
    <d v="2026-02-17T00:00:00"/>
    <d v="2026-02-17T00:00:00"/>
    <d v="2026-02-23T00:00:00"/>
    <s v="Дост. в срок"/>
    <n v="15"/>
  </r>
  <r>
    <x v="2"/>
    <s v="Сельдерей"/>
    <n v="120"/>
    <n v="2"/>
    <n v="0"/>
    <n v="240"/>
    <s v="&quot;Japfruit ComLTD&quot;"/>
    <d v="2026-02-18T00:00:00"/>
    <d v="2026-02-18T00:00:00"/>
    <d v="2026-02-22T00:00:00"/>
    <s v="Дост. в срок"/>
    <n v="2"/>
  </r>
  <r>
    <x v="3"/>
    <s v="Картофель"/>
    <n v="56"/>
    <n v="300"/>
    <n v="75"/>
    <n v="16800"/>
    <s v="&lt;&lt;ООО&gt;&gt;&quot;Зарница&quot;"/>
    <d v="2026-02-17T00:00:00"/>
    <d v="2026-02-17T00:00:00"/>
    <d v="2026-02-24T00:00:00"/>
    <s v="Дост. в срок"/>
    <n v="375"/>
  </r>
  <r>
    <x v="3"/>
    <s v="Помидоры"/>
    <n v="88"/>
    <n v="150"/>
    <n v="37"/>
    <n v="13200"/>
    <s v="&lt;&lt;ООО&gt;&gt;&quot;Зарница&quot;"/>
    <d v="2026-02-17T00:00:00"/>
    <d v="2026-02-17T00:00:00"/>
    <d v="2026-02-19T00:00:00"/>
    <s v="Дост. в срок"/>
    <n v="187"/>
  </r>
  <r>
    <x v="3"/>
    <s v="Огурцы"/>
    <n v="80"/>
    <n v="130"/>
    <n v="32"/>
    <n v="10400"/>
    <s v="&lt;&lt;ООО&gt;&gt;&quot;Зарница&quot;"/>
    <d v="2026-02-17T00:00:00"/>
    <d v="2026-02-17T00:00:00"/>
    <d v="2026-02-19T00:00:00"/>
    <s v="Дост. в срок"/>
    <n v="162"/>
  </r>
  <r>
    <x v="3"/>
    <s v="Тыква"/>
    <n v="67"/>
    <n v="75"/>
    <n v="18"/>
    <n v="5025"/>
    <s v="&lt;&lt;ООО&gt;&gt;&quot;Зарница&quot;"/>
    <d v="2026-02-17T00:00:00"/>
    <d v="2026-02-17T00:00:00"/>
    <d v="2026-02-23T00:00:00"/>
    <s v="Дост. в срок"/>
    <n v="93"/>
  </r>
  <r>
    <x v="3"/>
    <s v="Свекла"/>
    <n v="78"/>
    <n v="54"/>
    <n v="13"/>
    <n v="4212"/>
    <s v="&lt;&lt;ООО&gt;&gt;&quot;Зарница&quot;"/>
    <d v="2026-02-17T00:00:00"/>
    <d v="2026-02-17T00:00:00"/>
    <d v="2026-02-23T00:00:00"/>
    <s v="Дост. в срок"/>
    <n v="67"/>
  </r>
  <r>
    <x v="3"/>
    <s v="Абрикосы"/>
    <n v="170"/>
    <n v="20"/>
    <n v="5"/>
    <n v="3400"/>
    <s v="&quot;ChinaKO TM&quot;"/>
    <d v="2026-02-20T00:00:00"/>
    <d v="2026-02-19T00:00:00"/>
    <d v="2026-02-19T00:00:00"/>
    <s v="Просрочена"/>
    <n v="25"/>
  </r>
  <r>
    <x v="3"/>
    <s v="Авокадо"/>
    <n v="260"/>
    <n v="13"/>
    <n v="3"/>
    <n v="3380"/>
    <s v="&quot;Japfruit ComLTD&quot;"/>
    <d v="2026-02-18T00:00:00"/>
    <d v="2026-02-18T00:00:00"/>
    <d v="2026-02-23T00:00:00"/>
    <s v="Дост. в срок"/>
    <n v="16"/>
  </r>
  <r>
    <x v="3"/>
    <s v="Морковь"/>
    <n v="80"/>
    <n v="40"/>
    <n v="10"/>
    <n v="3200"/>
    <s v="&lt;&lt;ООО&gt;&gt;&quot;Зарница&quot;"/>
    <d v="2026-02-17T00:00:00"/>
    <d v="2026-02-17T00:00:00"/>
    <d v="2026-02-22T00:00:00"/>
    <s v="Дост. в срок"/>
    <n v="50"/>
  </r>
  <r>
    <x v="3"/>
    <s v="Баклажан"/>
    <n v="120"/>
    <n v="25"/>
    <n v="6"/>
    <n v="3000"/>
    <s v="&lt;&lt;ООО&gt;&gt;&quot;Зарница&quot;"/>
    <d v="2026-02-17T00:00:00"/>
    <d v="2026-02-17T00:00:00"/>
    <d v="2026-02-24T00:00:00"/>
    <s v="Дост. в срок"/>
    <n v="31"/>
  </r>
  <r>
    <x v="3"/>
    <s v="Яблоки"/>
    <n v="78"/>
    <n v="35"/>
    <n v="8"/>
    <n v="2730"/>
    <s v="&quot;ChinaKO TM&quot;"/>
    <d v="2026-02-20T00:00:00"/>
    <d v="2026-02-19T00:00:00"/>
    <d v="2026-02-19T00:00:00"/>
    <s v="Просрочена"/>
    <n v="43"/>
  </r>
  <r>
    <x v="3"/>
    <s v="Батат"/>
    <n v="142"/>
    <n v="17"/>
    <n v="4"/>
    <n v="2414"/>
    <s v="&quot;Japfruit ComLTD&quot;"/>
    <d v="2026-02-18T00:00:00"/>
    <d v="2026-02-18T00:00:00"/>
    <d v="2026-02-19T00:00:00"/>
    <s v="Дост. в срок"/>
    <n v="21"/>
  </r>
  <r>
    <x v="3"/>
    <s v="Пастернак"/>
    <n v="125"/>
    <n v="19"/>
    <n v="4"/>
    <n v="2375"/>
    <s v="&lt;&lt;ООО&gt;&gt;&quot;Зарница&quot;"/>
    <d v="2026-02-17T00:00:00"/>
    <d v="2026-02-17T00:00:00"/>
    <d v="2026-02-23T00:00:00"/>
    <s v="Дост. в срок"/>
    <n v="23"/>
  </r>
  <r>
    <x v="3"/>
    <s v="Черешня"/>
    <n v="190"/>
    <n v="12"/>
    <n v="3"/>
    <n v="2280"/>
    <s v="&quot;ChinaKO TM&quot;"/>
    <d v="2026-02-20T00:00:00"/>
    <d v="2026-02-19T00:00:00"/>
    <d v="2026-02-19T00:00:00"/>
    <s v="Просрочена"/>
    <n v="15"/>
  </r>
  <r>
    <x v="3"/>
    <s v="Брокколи"/>
    <n v="150"/>
    <n v="14"/>
    <n v="3"/>
    <n v="2100"/>
    <s v="&lt;&lt;ООО&gt;&gt;&quot;Зарница&quot;"/>
    <d v="2026-02-17T00:00:00"/>
    <d v="2026-02-17T00:00:00"/>
    <d v="2026-02-19T00:00:00"/>
    <s v="Дост. в срок"/>
    <n v="17"/>
  </r>
  <r>
    <x v="3"/>
    <s v="Патиссон"/>
    <n v="96"/>
    <n v="20"/>
    <n v="5"/>
    <n v="1920"/>
    <s v="&lt;&lt;ООО&gt;&gt;&quot;Зарница&quot;"/>
    <d v="2026-02-17T00:00:00"/>
    <d v="2026-02-17T00:00:00"/>
    <d v="2026-02-23T00:00:00"/>
    <s v="Дост. в срок"/>
    <n v="25"/>
  </r>
  <r>
    <x v="3"/>
    <s v="Персики"/>
    <n v="100"/>
    <n v="18"/>
    <n v="4"/>
    <n v="1800"/>
    <s v="&quot;ChinaKO TM&quot;"/>
    <d v="2026-02-20T00:00:00"/>
    <d v="2026-02-19T00:00:00"/>
    <d v="2026-02-19T00:00:00"/>
    <s v="Просрочена"/>
    <n v="22"/>
  </r>
  <r>
    <x v="3"/>
    <s v="Кукуруза"/>
    <n v="70"/>
    <n v="25"/>
    <n v="6"/>
    <n v="1750"/>
    <s v="&lt;&lt;ООО&gt;&gt;&quot;Зарница&quot;"/>
    <d v="2026-02-17T00:00:00"/>
    <d v="2026-02-17T00:00:00"/>
    <d v="2026-02-23T00:00:00"/>
    <s v="Дост. в срок"/>
    <n v="31"/>
  </r>
  <r>
    <x v="3"/>
    <s v="Редька"/>
    <n v="90"/>
    <n v="18"/>
    <n v="4"/>
    <n v="1620"/>
    <s v="&lt;&lt;ООО&gt;&gt;&quot;Зарница&quot;"/>
    <d v="2026-02-17T00:00:00"/>
    <d v="2026-02-17T00:00:00"/>
    <d v="2026-02-23T00:00:00"/>
    <s v="Дост. в срок"/>
    <n v="22"/>
  </r>
  <r>
    <x v="3"/>
    <s v="Дайкон"/>
    <n v="130"/>
    <n v="12"/>
    <n v="3"/>
    <n v="1560"/>
    <s v="&quot;Japfruit ComLTD&quot;"/>
    <d v="2026-02-18T00:00:00"/>
    <d v="2026-02-18T00:00:00"/>
    <d v="2026-02-19T00:00:00"/>
    <s v="Дост. в срок"/>
    <n v="15"/>
  </r>
  <r>
    <x v="3"/>
    <s v="Репа"/>
    <n v="82"/>
    <n v="19"/>
    <n v="4"/>
    <n v="1558"/>
    <s v="&lt;&lt;ООО&gt;&gt;&quot;Зарница&quot;"/>
    <d v="2026-02-17T00:00:00"/>
    <d v="2026-02-17T00:00:00"/>
    <d v="2026-02-23T00:00:00"/>
    <s v="Дост. в срок"/>
    <n v="23"/>
  </r>
  <r>
    <x v="3"/>
    <s v="Редис"/>
    <n v="95"/>
    <n v="16"/>
    <n v="4"/>
    <n v="1520"/>
    <s v="&lt;&lt;ООО&gt;&gt;&quot;Зарница&quot;"/>
    <d v="2026-02-17T00:00:00"/>
    <d v="2026-02-17T00:00:00"/>
    <d v="2026-02-23T00:00:00"/>
    <s v="Дост. в срок"/>
    <n v="20"/>
  </r>
  <r>
    <x v="3"/>
    <s v="Брюква"/>
    <n v="150"/>
    <n v="10"/>
    <n v="2"/>
    <n v="1500"/>
    <s v="&lt;&lt;ООО&gt;&gt;&quot;Зарница&quot;"/>
    <d v="2026-02-17T00:00:00"/>
    <d v="2026-02-17T00:00:00"/>
    <d v="2026-02-19T00:00:00"/>
    <s v="Дост. в срок"/>
    <n v="12"/>
  </r>
  <r>
    <x v="3"/>
    <s v="Груши"/>
    <n v="123"/>
    <n v="12"/>
    <n v="3"/>
    <n v="1476"/>
    <s v="&quot;ChinaKO TM&quot;"/>
    <d v="2026-02-20T00:00:00"/>
    <d v="2026-02-19T00:00:00"/>
    <d v="2026-02-22T00:00:00"/>
    <s v="Просрочена"/>
    <n v="15"/>
  </r>
  <r>
    <x v="3"/>
    <s v="Топинамбур"/>
    <n v="105"/>
    <n v="13"/>
    <n v="3"/>
    <n v="1365"/>
    <s v="&quot;Japfruit ComLTD&quot;"/>
    <d v="2026-02-18T00:00:00"/>
    <d v="2026-02-18T00:00:00"/>
    <d v="2026-02-23T00:00:00"/>
    <s v="Дост. в срок"/>
    <n v="16"/>
  </r>
  <r>
    <x v="3"/>
    <s v="Кольраби"/>
    <n v="163"/>
    <n v="8"/>
    <n v="2"/>
    <n v="1304"/>
    <s v="&quot;Japfruit ComLTD&quot;"/>
    <d v="2026-02-18T00:00:00"/>
    <d v="2026-02-18T00:00:00"/>
    <d v="2026-02-19T00:00:00"/>
    <s v="Дост. в срок"/>
    <n v="10"/>
  </r>
  <r>
    <x v="3"/>
    <s v="Капуста"/>
    <n v="76"/>
    <n v="17"/>
    <n v="4"/>
    <n v="1292"/>
    <s v="&lt;&lt;ООО&gt;&gt;&quot;Зарница&quot;"/>
    <d v="2026-02-17T00:00:00"/>
    <d v="2026-02-17T00:00:00"/>
    <d v="2026-02-24T00:00:00"/>
    <s v="Дост. в срок"/>
    <n v="21"/>
  </r>
  <r>
    <x v="3"/>
    <s v="Чеснок"/>
    <n v="42"/>
    <n v="30"/>
    <n v="7"/>
    <n v="1260"/>
    <s v="&lt;&lt;ООО&gt;&gt;&quot;Зарница&quot;"/>
    <d v="2026-02-17T00:00:00"/>
    <d v="2026-02-17T00:00:00"/>
    <d v="2026-02-24T00:00:00"/>
    <s v="Дост. в срок"/>
    <n v="37"/>
  </r>
  <r>
    <x v="3"/>
    <s v="Горох"/>
    <n v="102"/>
    <n v="10"/>
    <n v="2"/>
    <n v="1020"/>
    <s v="&lt;&lt;ООО&gt;&gt;&quot;Зарница&quot;"/>
    <d v="2026-02-17T00:00:00"/>
    <d v="2026-02-17T00:00:00"/>
    <d v="2026-02-22T00:00:00"/>
    <s v="Дост. в срок"/>
    <n v="12"/>
  </r>
  <r>
    <x v="3"/>
    <s v="Спаржа"/>
    <n v="163"/>
    <n v="5"/>
    <n v="1"/>
    <n v="815"/>
    <s v="&quot;Japfruit ComLTD&quot;"/>
    <d v="2026-02-18T00:00:00"/>
    <d v="2026-02-18T00:00:00"/>
    <d v="2026-02-24T00:00:00"/>
    <s v="Дост. в срок"/>
    <n v="6"/>
  </r>
  <r>
    <x v="3"/>
    <s v="Сельдерей"/>
    <n v="120"/>
    <n v="2"/>
    <n v="0"/>
    <n v="240"/>
    <s v="&quot;Japfruit ComLTD&quot;"/>
    <d v="2026-02-18T00:00:00"/>
    <d v="2026-02-18T00:00:00"/>
    <d v="2026-02-22T00:00:00"/>
    <s v="Дост. в срок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">
  <r>
    <s v="Восток"/>
    <x v="0"/>
    <n v="56"/>
    <n v="250"/>
    <n v="62"/>
    <n v="14000"/>
    <s v="&lt;&lt;ООО&gt;&gt;&quot;Зарница&quot;"/>
    <d v="2026-02-18T00:00:00"/>
    <d v="2026-02-18T00:00:00"/>
    <d v="2026-02-24T00:00:00"/>
    <s v="Дост. в срок"/>
    <n v="312"/>
  </r>
  <r>
    <s v="Восток"/>
    <x v="1"/>
    <n v="79"/>
    <n v="120"/>
    <n v="30"/>
    <n v="9480"/>
    <s v="&lt;&lt;ООО&gt;&gt;&quot;Зарница&quot;"/>
    <d v="2026-02-18T00:00:00"/>
    <d v="2026-02-18T00:00:00"/>
    <d v="2026-02-19T00:00:00"/>
    <s v="Дост. в срок"/>
    <n v="150"/>
  </r>
  <r>
    <s v="Восток"/>
    <x v="2"/>
    <n v="85"/>
    <n v="100"/>
    <n v="25"/>
    <n v="8500"/>
    <s v="&lt;&lt;ООО&gt;&gt;&quot;Зарница&quot;"/>
    <d v="2026-02-18T00:00:00"/>
    <d v="2026-02-18T00:00:00"/>
    <d v="2026-02-20T00:00:00"/>
    <s v="Дост. в срок"/>
    <n v="125"/>
  </r>
  <r>
    <s v="Восток"/>
    <x v="3"/>
    <n v="78"/>
    <n v="54"/>
    <n v="13"/>
    <n v="4212"/>
    <s v="&lt;&lt;ООО&gt;&gt;&quot;Зарница&quot;"/>
    <d v="2026-02-18T00:00:00"/>
    <d v="2026-02-18T00:00:00"/>
    <d v="2026-02-19T00:00:00"/>
    <s v="Дост. в срок"/>
    <n v="67"/>
  </r>
  <r>
    <s v="Восток"/>
    <x v="4"/>
    <n v="89"/>
    <n v="40"/>
    <n v="10"/>
    <n v="3560"/>
    <s v="&lt;&lt;ООО&gt;&gt;&quot;Зарница&quot;"/>
    <d v="2026-02-18T00:00:00"/>
    <d v="2026-02-18T00:00:00"/>
    <d v="2026-02-24T00:00:00"/>
    <s v="Дост. в срок"/>
    <n v="50"/>
  </r>
  <r>
    <s v="Восток"/>
    <x v="5"/>
    <n v="170"/>
    <n v="20"/>
    <n v="5"/>
    <n v="3400"/>
    <s v="&quot;ChinaKO TM&quot;"/>
    <d v="2026-02-21T00:00:00"/>
    <d v="2026-02-21T00:00:00"/>
    <d v="2026-02-23T00:00:00"/>
    <s v="Дост. в срок"/>
    <n v="25"/>
  </r>
  <r>
    <s v="Восток"/>
    <x v="6"/>
    <n v="65"/>
    <n v="50"/>
    <n v="12"/>
    <n v="3250"/>
    <s v="&lt;&lt;ООО&gt;&gt;&quot;Зарница&quot;"/>
    <d v="2026-02-18T00:00:00"/>
    <d v="2026-02-18T00:00:00"/>
    <d v="2026-02-25T00:00:00"/>
    <s v="Дост. в срок"/>
    <n v="62"/>
  </r>
  <r>
    <s v="Восток"/>
    <x v="7"/>
    <n v="78"/>
    <n v="35"/>
    <n v="8"/>
    <n v="2730"/>
    <s v="&quot;ChinaKO TM&quot;"/>
    <d v="2026-02-21T00:00:00"/>
    <d v="2026-02-21T00:00:00"/>
    <d v="2026-02-25T00:00:00"/>
    <s v="Дост. в срок"/>
    <n v="43"/>
  </r>
  <r>
    <s v="Восток"/>
    <x v="8"/>
    <n v="250"/>
    <n v="10"/>
    <n v="2"/>
    <n v="2500"/>
    <s v="&quot;Japfruit ComLTD&quot;"/>
    <d v="2026-02-20T00:00:00"/>
    <d v="2026-02-19T00:00:00"/>
    <d v="2026-02-23T00:00:00"/>
    <s v="Просрочена"/>
    <n v="12"/>
  </r>
  <r>
    <s v="Восток"/>
    <x v="9"/>
    <n v="125"/>
    <n v="19"/>
    <n v="4"/>
    <n v="2375"/>
    <s v="&lt;&lt;ООО&gt;&gt;&quot;Зарница&quot;"/>
    <d v="2026-02-18T00:00:00"/>
    <d v="2026-02-18T00:00:00"/>
    <d v="2026-02-24T00:00:00"/>
    <s v="Дост. в срок"/>
    <n v="23"/>
  </r>
  <r>
    <s v="Восток"/>
    <x v="10"/>
    <n v="190"/>
    <n v="12"/>
    <n v="3"/>
    <n v="2280"/>
    <s v="&quot;ChinaKO TM&quot;"/>
    <d v="2026-02-21T00:00:00"/>
    <d v="2026-02-21T00:00:00"/>
    <d v="2026-02-23T00:00:00"/>
    <s v="Дост. в срок"/>
    <n v="15"/>
  </r>
  <r>
    <s v="Восток"/>
    <x v="11"/>
    <n v="142"/>
    <n v="15"/>
    <n v="3"/>
    <n v="2130"/>
    <s v="&quot;Japfruit ComLTD&quot;"/>
    <d v="2026-02-20T00:00:00"/>
    <d v="2026-02-19T00:00:00"/>
    <d v="2026-02-23T00:00:00"/>
    <s v="Просрочена"/>
    <n v="18"/>
  </r>
  <r>
    <s v="Восток"/>
    <x v="12"/>
    <n v="110"/>
    <n v="18"/>
    <n v="4"/>
    <n v="1980"/>
    <s v="&lt;&lt;ООО&gt;&gt;&quot;Зарница&quot;"/>
    <d v="2026-02-18T00:00:00"/>
    <d v="2026-02-18T00:00:00"/>
    <d v="2026-02-22T00:00:00"/>
    <s v="Дост. в срок"/>
    <n v="22"/>
  </r>
  <r>
    <s v="Восток"/>
    <x v="13"/>
    <n v="150"/>
    <n v="13"/>
    <n v="3"/>
    <n v="1950"/>
    <s v="&lt;&lt;ООО&gt;&gt;&quot;Зарница&quot;"/>
    <d v="2026-02-18T00:00:00"/>
    <d v="2026-02-18T00:00:00"/>
    <d v="2026-02-20T00:00:00"/>
    <s v="Дост. в срок"/>
    <n v="16"/>
  </r>
  <r>
    <s v="Восток"/>
    <x v="14"/>
    <n v="76"/>
    <n v="25"/>
    <n v="6"/>
    <n v="1900"/>
    <s v="&lt;&lt;ООО&gt;&gt;&quot;Зарница&quot;"/>
    <d v="2026-02-18T00:00:00"/>
    <d v="2026-02-18T00:00:00"/>
    <d v="2026-02-24T00:00:00"/>
    <s v="Дост. в срок"/>
    <n v="31"/>
  </r>
  <r>
    <s v="Восток"/>
    <x v="15"/>
    <n v="113"/>
    <n v="16"/>
    <n v="4"/>
    <n v="1808"/>
    <s v="&lt;&lt;ООО&gt;&gt;&quot;Зарница&quot;"/>
    <d v="2026-02-18T00:00:00"/>
    <d v="2026-02-18T00:00:00"/>
    <d v="2026-02-20T00:00:00"/>
    <s v="Дост. в срок"/>
    <n v="20"/>
  </r>
  <r>
    <s v="Восток"/>
    <x v="16"/>
    <n v="100"/>
    <n v="18"/>
    <n v="4"/>
    <n v="1800"/>
    <s v="&quot;ChinaKO TM&quot;"/>
    <d v="2026-02-21T00:00:00"/>
    <d v="2026-02-21T00:00:00"/>
    <d v="2026-02-22T00:00:00"/>
    <s v="Дост. в срок"/>
    <n v="22"/>
  </r>
  <r>
    <s v="Восток"/>
    <x v="17"/>
    <n v="163"/>
    <n v="11"/>
    <n v="2"/>
    <n v="1793"/>
    <s v="&quot;Japfruit ComLTD&quot;"/>
    <d v="2026-02-20T00:00:00"/>
    <d v="2026-02-19T00:00:00"/>
    <d v="2026-02-22T00:00:00"/>
    <s v="Просрочена"/>
    <n v="13"/>
  </r>
  <r>
    <s v="Восток"/>
    <x v="18"/>
    <n v="130"/>
    <n v="12"/>
    <n v="3"/>
    <n v="1560"/>
    <s v="&quot;Japfruit ComLTD&quot;"/>
    <d v="2026-02-20T00:00:00"/>
    <d v="2026-02-19T00:00:00"/>
    <d v="2026-02-23T00:00:00"/>
    <s v="Просрочена"/>
    <n v="15"/>
  </r>
  <r>
    <s v="Восток"/>
    <x v="19"/>
    <n v="82"/>
    <n v="19"/>
    <n v="4"/>
    <n v="1558"/>
    <s v="&lt;&lt;ООО&gt;&gt;&quot;Зарница&quot;"/>
    <d v="2026-02-18T00:00:00"/>
    <d v="2026-02-18T00:00:00"/>
    <d v="2026-02-24T00:00:00"/>
    <s v="Дост. в срок"/>
    <n v="23"/>
  </r>
  <r>
    <s v="Восток"/>
    <x v="20"/>
    <n v="96"/>
    <n v="16"/>
    <n v="4"/>
    <n v="1536"/>
    <s v="&lt;&lt;ООО&gt;&gt;&quot;Зарница&quot;"/>
    <d v="2026-02-18T00:00:00"/>
    <d v="2026-02-18T00:00:00"/>
    <d v="2026-02-20T00:00:00"/>
    <s v="Дост. в срок"/>
    <n v="20"/>
  </r>
  <r>
    <s v="Восток"/>
    <x v="21"/>
    <n v="95"/>
    <n v="16"/>
    <n v="4"/>
    <n v="1520"/>
    <s v="&lt;&lt;ООО&gt;&gt;&quot;Зарница&quot;"/>
    <d v="2026-02-18T00:00:00"/>
    <d v="2026-02-18T00:00:00"/>
    <d v="2026-02-19T00:00:00"/>
    <s v="Дост. в срок"/>
    <n v="20"/>
  </r>
  <r>
    <s v="Восток"/>
    <x v="22"/>
    <n v="120"/>
    <n v="12"/>
    <n v="3"/>
    <n v="1440"/>
    <s v="&quot;ChinaKO TM&quot;"/>
    <d v="2026-02-21T00:00:00"/>
    <d v="2026-02-21T00:00:00"/>
    <d v="2026-02-22T00:00:00"/>
    <s v="Дост. в срок"/>
    <n v="15"/>
  </r>
  <r>
    <s v="Восток"/>
    <x v="23"/>
    <n v="105"/>
    <n v="13"/>
    <n v="3"/>
    <n v="1365"/>
    <s v="&quot;Japfruit ComLTD&quot;"/>
    <d v="2026-02-20T00:00:00"/>
    <d v="2026-02-19T00:00:00"/>
    <d v="2026-02-24T00:00:00"/>
    <s v="Просрочена"/>
    <n v="16"/>
  </r>
  <r>
    <s v="Восток"/>
    <x v="24"/>
    <n v="163"/>
    <n v="8"/>
    <n v="2"/>
    <n v="1304"/>
    <s v="&quot;Japfruit ComLTD&quot;"/>
    <d v="2026-02-20T00:00:00"/>
    <d v="2026-02-19T00:00:00"/>
    <d v="2026-02-21T00:00:00"/>
    <s v="Просрочена"/>
    <n v="10"/>
  </r>
  <r>
    <s v="Восток"/>
    <x v="25"/>
    <n v="76"/>
    <n v="17"/>
    <n v="4"/>
    <n v="1292"/>
    <s v="&lt;&lt;ООО&gt;&gt;&quot;Зарница&quot;"/>
    <d v="2026-02-18T00:00:00"/>
    <d v="2026-02-18T00:00:00"/>
    <d v="2026-02-24T00:00:00"/>
    <s v="Дост. в срок"/>
    <n v="21"/>
  </r>
  <r>
    <s v="Восток"/>
    <x v="26"/>
    <n v="42"/>
    <n v="30"/>
    <n v="7"/>
    <n v="1260"/>
    <s v="&lt;&lt;ООО&gt;&gt;&quot;Зарница&quot;"/>
    <d v="2026-02-18T00:00:00"/>
    <d v="2026-02-18T00:00:00"/>
    <d v="2026-02-24T00:00:00"/>
    <s v="Дост. в срок"/>
    <n v="37"/>
  </r>
  <r>
    <s v="Восток"/>
    <x v="27"/>
    <n v="90"/>
    <n v="12"/>
    <n v="3"/>
    <n v="1080"/>
    <s v="&lt;&lt;ООО&gt;&gt;&quot;Зарница&quot;"/>
    <d v="2026-02-18T00:00:00"/>
    <d v="2026-02-18T00:00:00"/>
    <d v="2026-02-25T00:00:00"/>
    <s v="Дост. в срок"/>
    <n v="15"/>
  </r>
  <r>
    <s v="Восток"/>
    <x v="28"/>
    <n v="102"/>
    <n v="10"/>
    <n v="2"/>
    <n v="1020"/>
    <s v="&lt;&lt;ООО&gt;&gt;&quot;Зарница&quot;"/>
    <d v="2026-02-18T00:00:00"/>
    <d v="2026-02-18T00:00:00"/>
    <d v="2026-02-20T00:00:00"/>
    <s v="Дост. в срок"/>
    <n v="12"/>
  </r>
  <r>
    <s v="Восток"/>
    <x v="29"/>
    <n v="120"/>
    <n v="2"/>
    <n v="0"/>
    <n v="240"/>
    <s v="&quot;Japfruit ComLTD&quot;"/>
    <d v="2026-02-20T00:00:00"/>
    <d v="2026-02-19T00:00:00"/>
    <d v="2026-02-23T00:00:00"/>
    <s v="Просрочена"/>
    <n v="2"/>
  </r>
  <r>
    <s v="Запад"/>
    <x v="0"/>
    <n v="65"/>
    <n v="180"/>
    <n v="45"/>
    <n v="11700"/>
    <s v="&lt;&lt;ООО&gt;&gt;&quot;Зарница&quot;"/>
    <d v="2026-02-17T00:00:00"/>
    <d v="2026-02-17T00:00:00"/>
    <d v="2026-02-23T00:00:00"/>
    <s v="Дост. в срок"/>
    <n v="225"/>
  </r>
  <r>
    <s v="Запад"/>
    <x v="2"/>
    <n v="110"/>
    <n v="50"/>
    <n v="12"/>
    <n v="5500"/>
    <s v="&lt;&lt;ООО&gt;&gt;&quot;Зарница&quot;"/>
    <d v="2026-02-17T00:00:00"/>
    <d v="2026-02-17T00:00:00"/>
    <d v="2026-02-19T00:00:00"/>
    <s v="Дост. в срок"/>
    <n v="62"/>
  </r>
  <r>
    <s v="Запад"/>
    <x v="1"/>
    <n v="90"/>
    <n v="60"/>
    <n v="15"/>
    <n v="5400"/>
    <s v="&lt;&lt;ООО&gt;&gt;&quot;Зарница&quot;"/>
    <d v="2026-02-17T00:00:00"/>
    <d v="2026-02-17T00:00:00"/>
    <d v="2026-02-19T00:00:00"/>
    <s v="Дост. в срок"/>
    <n v="75"/>
  </r>
  <r>
    <s v="Запад"/>
    <x v="5"/>
    <n v="180"/>
    <n v="20"/>
    <n v="5"/>
    <n v="3600"/>
    <s v="&quot;ChinaKO TM&quot;"/>
    <d v="2026-02-20T00:00:00"/>
    <d v="2026-02-18T00:00:00"/>
    <d v="2026-02-23T00:00:00"/>
    <s v="Просрочена"/>
    <n v="25"/>
  </r>
  <r>
    <s v="Запад"/>
    <x v="7"/>
    <n v="78"/>
    <n v="40"/>
    <n v="10"/>
    <n v="3120"/>
    <s v="&quot;ChinaKO TM&quot;"/>
    <d v="2026-02-20T00:00:00"/>
    <d v="2026-02-18T00:00:00"/>
    <d v="2026-02-25T00:00:00"/>
    <s v="Просрочена"/>
    <n v="50"/>
  </r>
  <r>
    <s v="Запад"/>
    <x v="4"/>
    <n v="100"/>
    <n v="30"/>
    <n v="7"/>
    <n v="3000"/>
    <s v="&lt;&lt;ООО&gt;&gt;&quot;Зарница&quot;"/>
    <d v="2026-02-17T00:00:00"/>
    <d v="2026-02-17T00:00:00"/>
    <d v="2026-02-20T00:00:00"/>
    <s v="Дост. в срок"/>
    <n v="37"/>
  </r>
  <r>
    <s v="Запад"/>
    <x v="10"/>
    <n v="220"/>
    <n v="12"/>
    <n v="3"/>
    <n v="2640"/>
    <s v="&quot;ChinaKO TM&quot;"/>
    <d v="2026-02-20T00:00:00"/>
    <d v="2026-02-18T00:00:00"/>
    <d v="2026-02-22T00:00:00"/>
    <s v="Просрочена"/>
    <n v="15"/>
  </r>
  <r>
    <s v="Запад"/>
    <x v="9"/>
    <n v="125"/>
    <n v="20"/>
    <n v="5"/>
    <n v="2500"/>
    <s v="&lt;&lt;ООО&gt;&gt;&quot;Зарница&quot;"/>
    <d v="2026-02-17T00:00:00"/>
    <d v="2026-02-17T00:00:00"/>
    <d v="2026-02-24T00:00:00"/>
    <s v="Дост. в срок"/>
    <n v="25"/>
  </r>
  <r>
    <s v="Запад"/>
    <x v="3"/>
    <n v="78"/>
    <n v="30"/>
    <n v="7"/>
    <n v="2340"/>
    <s v="&lt;&lt;ООО&gt;&gt;&quot;Зарница&quot;"/>
    <d v="2026-02-17T00:00:00"/>
    <d v="2026-02-17T00:00:00"/>
    <d v="2026-02-19T00:00:00"/>
    <s v="Дост. в срок"/>
    <n v="37"/>
  </r>
  <r>
    <s v="Запад"/>
    <x v="12"/>
    <n v="120"/>
    <n v="18"/>
    <n v="4"/>
    <n v="2160"/>
    <s v="&lt;&lt;ООО&gt;&gt;&quot;Зарница&quot;"/>
    <d v="2026-02-17T00:00:00"/>
    <d v="2026-02-17T00:00:00"/>
    <d v="2026-02-26T00:00:00"/>
    <s v="Дост. в срок"/>
    <n v="22"/>
  </r>
  <r>
    <s v="Запад"/>
    <x v="28"/>
    <n v="120"/>
    <n v="17"/>
    <n v="4"/>
    <n v="2040"/>
    <s v="&lt;&lt;ООО&gt;&gt;&quot;Зарница&quot;"/>
    <d v="2026-02-17T00:00:00"/>
    <d v="2026-02-17T00:00:00"/>
    <d v="2026-02-20T00:00:00"/>
    <s v="Дост. в срок"/>
    <n v="21"/>
  </r>
  <r>
    <s v="Запад"/>
    <x v="15"/>
    <n v="123"/>
    <n v="16"/>
    <n v="4"/>
    <n v="1968"/>
    <s v="&lt;&lt;ООО&gt;&gt;&quot;Зарница&quot;"/>
    <d v="2026-02-17T00:00:00"/>
    <d v="2026-02-17T00:00:00"/>
    <d v="2026-02-20T00:00:00"/>
    <s v="Дост. в срок"/>
    <n v="20"/>
  </r>
  <r>
    <s v="Запад"/>
    <x v="14"/>
    <n v="78"/>
    <n v="25"/>
    <n v="6"/>
    <n v="1950"/>
    <s v="&lt;&lt;ООО&gt;&gt;&quot;Зарница&quot;"/>
    <d v="2026-02-17T00:00:00"/>
    <d v="2026-02-17T00:00:00"/>
    <d v="2026-02-24T00:00:00"/>
    <s v="Дост. в срок"/>
    <n v="31"/>
  </r>
  <r>
    <s v="Запад"/>
    <x v="18"/>
    <n v="150"/>
    <n v="12"/>
    <n v="3"/>
    <n v="1800"/>
    <s v="&quot;Japfruit ComLTD&quot;"/>
    <d v="2026-02-19T00:00:00"/>
    <d v="2026-02-19T00:00:00"/>
    <d v="2026-02-24T00:00:00"/>
    <s v="Дост. в срок"/>
    <n v="15"/>
  </r>
  <r>
    <s v="Запад"/>
    <x v="17"/>
    <n v="163"/>
    <n v="11"/>
    <n v="2"/>
    <n v="1793"/>
    <s v="&quot;Japfruit ComLTD&quot;"/>
    <d v="2026-02-19T00:00:00"/>
    <d v="2026-02-19T00:00:00"/>
    <d v="2026-02-22T00:00:00"/>
    <s v="Дост. в срок"/>
    <n v="13"/>
  </r>
  <r>
    <s v="Запад"/>
    <x v="19"/>
    <n v="90"/>
    <n v="19"/>
    <n v="4"/>
    <n v="1710"/>
    <s v="&lt;&lt;ООО&gt;&gt;&quot;Зарница&quot;"/>
    <d v="2026-02-17T00:00:00"/>
    <d v="2026-02-17T00:00:00"/>
    <d v="2026-02-24T00:00:00"/>
    <s v="Дост. в срок"/>
    <n v="23"/>
  </r>
  <r>
    <s v="Запад"/>
    <x v="11"/>
    <n v="170"/>
    <n v="10"/>
    <n v="2"/>
    <n v="1700"/>
    <s v="&quot;Japfruit ComLTD&quot;"/>
    <d v="2026-02-19T00:00:00"/>
    <d v="2026-02-19T00:00:00"/>
    <d v="2026-02-23T00:00:00"/>
    <s v="Дост. в срок"/>
    <n v="12"/>
  </r>
  <r>
    <s v="Запад"/>
    <x v="13"/>
    <n v="160"/>
    <n v="10"/>
    <n v="2"/>
    <n v="1600"/>
    <s v="&lt;&lt;ООО&gt;&gt;&quot;Зарница&quot;"/>
    <d v="2026-02-17T00:00:00"/>
    <d v="2026-02-17T00:00:00"/>
    <d v="2026-02-19T00:00:00"/>
    <s v="Дост. в срок"/>
    <n v="12"/>
  </r>
  <r>
    <s v="Запад"/>
    <x v="16"/>
    <n v="120"/>
    <n v="13"/>
    <n v="3"/>
    <n v="1560"/>
    <s v="&quot;ChinaKO TM&quot;"/>
    <d v="2026-02-20T00:00:00"/>
    <d v="2026-02-18T00:00:00"/>
    <d v="2026-02-21T00:00:00"/>
    <s v="Просрочена"/>
    <n v="16"/>
  </r>
  <r>
    <s v="Запад"/>
    <x v="21"/>
    <n v="95"/>
    <n v="16"/>
    <n v="4"/>
    <n v="1520"/>
    <s v="&lt;&lt;ООО&gt;&gt;&quot;Зарница&quot;"/>
    <d v="2026-02-17T00:00:00"/>
    <d v="2026-02-17T00:00:00"/>
    <d v="2026-02-19T00:00:00"/>
    <s v="Дост. в срок"/>
    <n v="20"/>
  </r>
  <r>
    <s v="Запад"/>
    <x v="22"/>
    <n v="120"/>
    <n v="12"/>
    <n v="3"/>
    <n v="1440"/>
    <s v="&quot;ChinaKO TM&quot;"/>
    <d v="2026-02-20T00:00:00"/>
    <d v="2026-02-18T00:00:00"/>
    <d v="2026-02-22T00:00:00"/>
    <s v="Просрочена"/>
    <n v="15"/>
  </r>
  <r>
    <s v="Запад"/>
    <x v="8"/>
    <n v="280"/>
    <n v="5"/>
    <n v="1"/>
    <n v="1400"/>
    <s v="&quot;Japfruit ComLTD&quot;"/>
    <d v="2026-02-19T00:00:00"/>
    <d v="2026-02-19T00:00:00"/>
    <d v="2026-02-22T00:00:00"/>
    <s v="Дост. в срок"/>
    <n v="6"/>
  </r>
  <r>
    <s v="Запад"/>
    <x v="6"/>
    <n v="70"/>
    <n v="20"/>
    <n v="5"/>
    <n v="1400"/>
    <s v="&lt;&lt;ООО&gt;&gt;&quot;Зарница&quot;"/>
    <d v="2026-02-17T00:00:00"/>
    <d v="2026-02-17T00:00:00"/>
    <d v="2026-02-24T00:00:00"/>
    <s v="Дост. в срок"/>
    <n v="25"/>
  </r>
  <r>
    <s v="Запад"/>
    <x v="20"/>
    <n v="99"/>
    <n v="14"/>
    <n v="3"/>
    <n v="1386"/>
    <s v="&lt;&lt;ООО&gt;&gt;&quot;Зарница&quot;"/>
    <d v="2026-02-17T00:00:00"/>
    <d v="2026-02-17T00:00:00"/>
    <d v="2026-02-20T00:00:00"/>
    <s v="Дост. в срок"/>
    <n v="17"/>
  </r>
  <r>
    <s v="Запад"/>
    <x v="23"/>
    <n v="105"/>
    <n v="13"/>
    <n v="3"/>
    <n v="1365"/>
    <s v="&quot;Japfruit ComLTD&quot;"/>
    <d v="2026-02-19T00:00:00"/>
    <d v="2026-02-19T00:00:00"/>
    <d v="2026-02-24T00:00:00"/>
    <s v="Дост. в срок"/>
    <n v="16"/>
  </r>
  <r>
    <s v="Запад"/>
    <x v="25"/>
    <n v="80"/>
    <n v="14"/>
    <n v="3"/>
    <n v="1120"/>
    <s v="&lt;&lt;ООО&gt;&gt;&quot;Зарница&quot;"/>
    <d v="2026-02-17T00:00:00"/>
    <d v="2026-02-17T00:00:00"/>
    <d v="2026-02-24T00:00:00"/>
    <s v="Дост. в срок"/>
    <n v="17"/>
  </r>
  <r>
    <s v="Запад"/>
    <x v="27"/>
    <n v="100"/>
    <n v="10"/>
    <n v="2"/>
    <n v="1000"/>
    <s v="&lt;&lt;ООО&gt;&gt;&quot;Зарница&quot;"/>
    <d v="2026-02-17T00:00:00"/>
    <d v="2026-02-17T00:00:00"/>
    <d v="2026-02-25T00:00:00"/>
    <s v="Дост. в срок"/>
    <n v="12"/>
  </r>
  <r>
    <s v="Запад"/>
    <x v="24"/>
    <n v="186"/>
    <n v="5"/>
    <n v="1"/>
    <n v="930"/>
    <s v="&quot;Japfruit ComLTD&quot;"/>
    <d v="2026-02-19T00:00:00"/>
    <d v="2026-02-19T00:00:00"/>
    <d v="2026-02-21T00:00:00"/>
    <s v="Дост. в срок"/>
    <n v="6"/>
  </r>
  <r>
    <s v="Запад"/>
    <x v="26"/>
    <n v="42"/>
    <n v="20"/>
    <n v="5"/>
    <n v="840"/>
    <s v="&lt;&lt;ООО&gt;&gt;&quot;Зарница&quot;"/>
    <d v="2026-02-17T00:00:00"/>
    <d v="2026-02-17T00:00:00"/>
    <d v="2026-02-24T00:00:00"/>
    <s v="Дост. в срок"/>
    <n v="25"/>
  </r>
  <r>
    <s v="Запад"/>
    <x v="29"/>
    <n v="120"/>
    <n v="2"/>
    <n v="0"/>
    <n v="240"/>
    <s v="&quot;Japfruit ComLTD&quot;"/>
    <d v="2026-02-19T00:00:00"/>
    <d v="2026-02-19T00:00:00"/>
    <d v="2026-02-23T00:00:00"/>
    <s v="Дост. в срок"/>
    <n v="2"/>
  </r>
  <r>
    <s v="Север"/>
    <x v="7"/>
    <n v="1000"/>
    <n v="350"/>
    <n v="87"/>
    <n v="350000"/>
    <s v="&quot;ChinaKO TM&quot;"/>
    <d v="2026-02-20T00:00:00"/>
    <d v="2026-02-19T00:00:00"/>
    <d v="2026-02-19T00:00:00"/>
    <s v="Просрочена"/>
    <n v="437"/>
  </r>
  <r>
    <s v="Север"/>
    <x v="0"/>
    <n v="60"/>
    <n v="200"/>
    <n v="50"/>
    <n v="12000"/>
    <s v="&lt;&lt;ООО&gt;&gt;&quot;Зарница&quot;"/>
    <d v="2026-02-17T00:00:00"/>
    <d v="2026-02-17T00:00:00"/>
    <d v="2026-02-23T00:00:00"/>
    <s v="Дост. в срок"/>
    <n v="250"/>
  </r>
  <r>
    <s v="Север"/>
    <x v="1"/>
    <n v="85"/>
    <n v="100"/>
    <n v="25"/>
    <n v="8500"/>
    <s v="&lt;&lt;ООО&gt;&gt;&quot;Зарница&quot;"/>
    <d v="2026-02-17T00:00:00"/>
    <d v="2026-02-17T00:00:00"/>
    <d v="2026-02-19T00:00:00"/>
    <s v="Дост. в срок"/>
    <n v="125"/>
  </r>
  <r>
    <s v="Север"/>
    <x v="3"/>
    <n v="88"/>
    <n v="54"/>
    <n v="13"/>
    <n v="4752"/>
    <s v="&lt;&lt;ООО&gt;&gt;&quot;Зарница&quot;"/>
    <d v="2026-02-17T00:00:00"/>
    <d v="2026-02-17T00:00:00"/>
    <d v="2026-02-23T00:00:00"/>
    <s v="Дост. в срок"/>
    <n v="67"/>
  </r>
  <r>
    <s v="Север"/>
    <x v="2"/>
    <n v="90"/>
    <n v="50"/>
    <n v="12"/>
    <n v="4500"/>
    <s v="&lt;&lt;ООО&gt;&gt;&quot;Зарница&quot;"/>
    <d v="2026-02-17T00:00:00"/>
    <d v="2026-02-17T00:00:00"/>
    <d v="2026-02-19T00:00:00"/>
    <s v="Дост. в срок"/>
    <n v="62"/>
  </r>
  <r>
    <s v="Север"/>
    <x v="4"/>
    <n v="95"/>
    <n v="45"/>
    <n v="11"/>
    <n v="4275"/>
    <s v="&lt;&lt;ООО&gt;&gt;&quot;Зарница&quot;"/>
    <d v="2026-02-17T00:00:00"/>
    <d v="2026-02-17T00:00:00"/>
    <d v="2026-02-22T00:00:00"/>
    <s v="Дост. в срок"/>
    <n v="56"/>
  </r>
  <r>
    <s v="Север"/>
    <x v="8"/>
    <n v="270"/>
    <n v="15"/>
    <n v="3"/>
    <n v="4050"/>
    <s v="&quot;Japfruit ComLTD&quot;"/>
    <d v="2026-02-18T00:00:00"/>
    <d v="2026-02-18T00:00:00"/>
    <d v="2026-02-23T00:00:00"/>
    <s v="Дост. в срок"/>
    <n v="18"/>
  </r>
  <r>
    <s v="Север"/>
    <x v="24"/>
    <n v="190"/>
    <n v="19"/>
    <n v="4"/>
    <n v="3610"/>
    <s v="&quot;Japfruit ComLTD&quot;"/>
    <d v="2026-02-18T00:00:00"/>
    <d v="2026-02-18T00:00:00"/>
    <d v="2026-02-19T00:00:00"/>
    <s v="Дост. в срок"/>
    <n v="23"/>
  </r>
  <r>
    <s v="Север"/>
    <x v="11"/>
    <n v="150"/>
    <n v="24"/>
    <n v="6"/>
    <n v="3600"/>
    <s v="&quot;Japfruit ComLTD&quot;"/>
    <d v="2026-02-18T00:00:00"/>
    <d v="2026-02-18T00:00:00"/>
    <d v="2026-02-19T00:00:00"/>
    <s v="Дост. в срок"/>
    <n v="30"/>
  </r>
  <r>
    <s v="Север"/>
    <x v="5"/>
    <n v="170"/>
    <n v="20"/>
    <n v="5"/>
    <n v="3400"/>
    <s v="&quot;ChinaKO TM&quot;"/>
    <d v="2026-02-20T00:00:00"/>
    <d v="2026-02-19T00:00:00"/>
    <d v="2026-02-19T00:00:00"/>
    <s v="Просрочена"/>
    <n v="25"/>
  </r>
  <r>
    <s v="Север"/>
    <x v="22"/>
    <n v="150"/>
    <n v="20"/>
    <n v="5"/>
    <n v="3000"/>
    <s v="&quot;ChinaKO TM&quot;"/>
    <d v="2026-02-20T00:00:00"/>
    <d v="2026-02-19T00:00:00"/>
    <d v="2026-02-22T00:00:00"/>
    <s v="Просрочена"/>
    <n v="25"/>
  </r>
  <r>
    <s v="Север"/>
    <x v="6"/>
    <n v="70"/>
    <n v="40"/>
    <n v="10"/>
    <n v="2800"/>
    <s v="&lt;&lt;ООО&gt;&gt;&quot;Зарница&quot;"/>
    <d v="2026-02-17T00:00:00"/>
    <d v="2026-02-17T00:00:00"/>
    <d v="2026-02-23T00:00:00"/>
    <s v="Дост. в срок"/>
    <n v="50"/>
  </r>
  <r>
    <s v="Север"/>
    <x v="9"/>
    <n v="125"/>
    <n v="19"/>
    <n v="4"/>
    <n v="2375"/>
    <s v="&lt;&lt;ООО&gt;&gt;&quot;Зарница&quot;"/>
    <d v="2026-02-17T00:00:00"/>
    <d v="2026-02-17T00:00:00"/>
    <d v="2026-02-23T00:00:00"/>
    <s v="Дост. в срок"/>
    <n v="23"/>
  </r>
  <r>
    <s v="Север"/>
    <x v="16"/>
    <n v="120"/>
    <n v="19"/>
    <n v="4"/>
    <n v="2280"/>
    <s v="&quot;ChinaKO TM&quot;"/>
    <d v="2026-02-20T00:00:00"/>
    <d v="2026-02-19T00:00:00"/>
    <d v="2026-02-19T00:00:00"/>
    <s v="Просрочена"/>
    <n v="23"/>
  </r>
  <r>
    <s v="Север"/>
    <x v="10"/>
    <n v="190"/>
    <n v="12"/>
    <n v="3"/>
    <n v="2280"/>
    <s v="&quot;ChinaKO TM&quot;"/>
    <d v="2026-02-20T00:00:00"/>
    <d v="2026-02-19T00:00:00"/>
    <d v="2026-02-19T00:00:00"/>
    <s v="Просрочена"/>
    <n v="15"/>
  </r>
  <r>
    <s v="Север"/>
    <x v="12"/>
    <n v="110"/>
    <n v="18"/>
    <n v="4"/>
    <n v="1980"/>
    <s v="&lt;&lt;ООО&gt;&gt;&quot;Зарница&quot;"/>
    <d v="2026-02-17T00:00:00"/>
    <d v="2026-02-17T00:00:00"/>
    <d v="2026-02-22T00:00:00"/>
    <s v="Дост. в срок"/>
    <n v="22"/>
  </r>
  <r>
    <s v="Север"/>
    <x v="21"/>
    <n v="120"/>
    <n v="16"/>
    <n v="4"/>
    <n v="1920"/>
    <s v="&lt;&lt;ООО&gt;&gt;&quot;Зарница&quot;"/>
    <d v="2026-02-17T00:00:00"/>
    <d v="2026-02-17T00:00:00"/>
    <d v="2026-02-23T00:00:00"/>
    <s v="Дост. в срок"/>
    <n v="20"/>
  </r>
  <r>
    <s v="Север"/>
    <x v="15"/>
    <n v="113"/>
    <n v="16"/>
    <n v="4"/>
    <n v="1808"/>
    <s v="&lt;&lt;ООО&gt;&gt;&quot;Зарница&quot;"/>
    <d v="2026-02-17T00:00:00"/>
    <d v="2026-02-17T00:00:00"/>
    <d v="2026-02-19T00:00:00"/>
    <s v="Дост. в срок"/>
    <n v="20"/>
  </r>
  <r>
    <s v="Север"/>
    <x v="28"/>
    <n v="120"/>
    <n v="15"/>
    <n v="3"/>
    <n v="1800"/>
    <s v="&lt;&lt;ООО&gt;&gt;&quot;Зарница&quot;"/>
    <d v="2026-02-17T00:00:00"/>
    <d v="2026-02-17T00:00:00"/>
    <d v="2026-02-22T00:00:00"/>
    <s v="Дост. в срок"/>
    <n v="18"/>
  </r>
  <r>
    <s v="Север"/>
    <x v="17"/>
    <n v="163"/>
    <n v="11"/>
    <n v="2"/>
    <n v="1793"/>
    <s v="&quot;Japfruit ComLTD&quot;"/>
    <d v="2026-02-18T00:00:00"/>
    <d v="2026-02-18T00:00:00"/>
    <d v="2026-02-22T00:00:00"/>
    <s v="Дост. в срок"/>
    <n v="13"/>
  </r>
  <r>
    <s v="Север"/>
    <x v="19"/>
    <n v="90"/>
    <n v="19"/>
    <n v="4"/>
    <n v="1710"/>
    <s v="&lt;&lt;ООО&gt;&gt;&quot;Зарница&quot;"/>
    <d v="2026-02-17T00:00:00"/>
    <d v="2026-02-17T00:00:00"/>
    <d v="2026-02-23T00:00:00"/>
    <s v="Дост. в срок"/>
    <n v="23"/>
  </r>
  <r>
    <s v="Север"/>
    <x v="13"/>
    <n v="170"/>
    <n v="10"/>
    <n v="2"/>
    <n v="1700"/>
    <s v="&lt;&lt;ООО&gt;&gt;&quot;Зарница&quot;"/>
    <d v="2026-02-17T00:00:00"/>
    <d v="2026-02-17T00:00:00"/>
    <d v="2026-02-19T00:00:00"/>
    <s v="Дост. в срок"/>
    <n v="12"/>
  </r>
  <r>
    <s v="Север"/>
    <x v="25"/>
    <n v="90"/>
    <n v="18"/>
    <n v="4"/>
    <n v="1620"/>
    <s v="&lt;&lt;ООО&gt;&gt;&quot;Зарница&quot;"/>
    <d v="2026-02-17T00:00:00"/>
    <d v="2026-02-17T00:00:00"/>
    <d v="2026-02-23T00:00:00"/>
    <s v="Дост. в срок"/>
    <n v="22"/>
  </r>
  <r>
    <s v="Север"/>
    <x v="26"/>
    <n v="70"/>
    <n v="20"/>
    <n v="5"/>
    <n v="1400"/>
    <s v="&lt;&lt;ООО&gt;&gt;&quot;Зарница&quot;"/>
    <d v="2026-02-17T00:00:00"/>
    <d v="2026-02-17T00:00:00"/>
    <d v="2026-02-22T00:00:00"/>
    <s v="Дост. в срок"/>
    <n v="25"/>
  </r>
  <r>
    <s v="Север"/>
    <x v="23"/>
    <n v="105"/>
    <n v="13"/>
    <n v="3"/>
    <n v="1365"/>
    <s v="&quot;Japfruit ComLTD&quot;"/>
    <d v="2026-02-18T00:00:00"/>
    <d v="2026-02-18T00:00:00"/>
    <d v="2026-02-23T00:00:00"/>
    <s v="Дост. в срок"/>
    <n v="16"/>
  </r>
  <r>
    <s v="Север"/>
    <x v="20"/>
    <n v="96"/>
    <n v="14"/>
    <n v="3"/>
    <n v="1344"/>
    <s v="&lt;&lt;ООО&gt;&gt;&quot;Зарница&quot;"/>
    <d v="2026-02-17T00:00:00"/>
    <d v="2026-02-17T00:00:00"/>
    <d v="2026-02-23T00:00:00"/>
    <s v="Дост. в срок"/>
    <n v="17"/>
  </r>
  <r>
    <s v="Север"/>
    <x v="18"/>
    <n v="130"/>
    <n v="10"/>
    <n v="2"/>
    <n v="1300"/>
    <s v="&quot;Japfruit ComLTD&quot;"/>
    <d v="2026-02-18T00:00:00"/>
    <d v="2026-02-18T00:00:00"/>
    <d v="2026-02-19T00:00:00"/>
    <s v="Дост. в срок"/>
    <n v="12"/>
  </r>
  <r>
    <s v="Север"/>
    <x v="14"/>
    <n v="76"/>
    <n v="15"/>
    <n v="3"/>
    <n v="1140"/>
    <s v="&lt;&lt;ООО&gt;&gt;&quot;Зарница&quot;"/>
    <d v="2026-02-17T00:00:00"/>
    <d v="2026-02-17T00:00:00"/>
    <d v="2026-02-23T00:00:00"/>
    <s v="Дост. в срок"/>
    <n v="18"/>
  </r>
  <r>
    <s v="Север"/>
    <x v="27"/>
    <n v="90"/>
    <n v="12"/>
    <n v="3"/>
    <n v="1080"/>
    <s v="&lt;&lt;ООО&gt;&gt;&quot;Зарница&quot;"/>
    <d v="2026-02-17T00:00:00"/>
    <d v="2026-02-17T00:00:00"/>
    <d v="2026-02-23T00:00:00"/>
    <s v="Дост. в срок"/>
    <n v="15"/>
  </r>
  <r>
    <s v="Север"/>
    <x v="29"/>
    <n v="120"/>
    <n v="2"/>
    <n v="0"/>
    <n v="240"/>
    <s v="&quot;Japfruit ComLTD&quot;"/>
    <d v="2026-02-18T00:00:00"/>
    <d v="2026-02-18T00:00:00"/>
    <d v="2026-02-22T00:00:00"/>
    <s v="Дост. в срок"/>
    <n v="2"/>
  </r>
  <r>
    <s v="Юг"/>
    <x v="0"/>
    <n v="56"/>
    <n v="300"/>
    <n v="75"/>
    <n v="16800"/>
    <s v="&lt;&lt;ООО&gt;&gt;&quot;Зарница&quot;"/>
    <d v="2026-02-17T00:00:00"/>
    <d v="2026-02-17T00:00:00"/>
    <d v="2026-02-24T00:00:00"/>
    <s v="Дост. в срок"/>
    <n v="375"/>
  </r>
  <r>
    <s v="Юг"/>
    <x v="2"/>
    <n v="88"/>
    <n v="150"/>
    <n v="37"/>
    <n v="13200"/>
    <s v="&lt;&lt;ООО&gt;&gt;&quot;Зарница&quot;"/>
    <d v="2026-02-17T00:00:00"/>
    <d v="2026-02-17T00:00:00"/>
    <d v="2026-02-19T00:00:00"/>
    <s v="Дост. в срок"/>
    <n v="187"/>
  </r>
  <r>
    <s v="Юг"/>
    <x v="1"/>
    <n v="80"/>
    <n v="130"/>
    <n v="32"/>
    <n v="10400"/>
    <s v="&lt;&lt;ООО&gt;&gt;&quot;Зарница&quot;"/>
    <d v="2026-02-17T00:00:00"/>
    <d v="2026-02-17T00:00:00"/>
    <d v="2026-02-19T00:00:00"/>
    <s v="Дост. в срок"/>
    <n v="162"/>
  </r>
  <r>
    <s v="Юг"/>
    <x v="6"/>
    <n v="67"/>
    <n v="75"/>
    <n v="18"/>
    <n v="5025"/>
    <s v="&lt;&lt;ООО&gt;&gt;&quot;Зарница&quot;"/>
    <d v="2026-02-17T00:00:00"/>
    <d v="2026-02-17T00:00:00"/>
    <d v="2026-02-23T00:00:00"/>
    <s v="Дост. в срок"/>
    <n v="93"/>
  </r>
  <r>
    <s v="Юг"/>
    <x v="3"/>
    <n v="78"/>
    <n v="54"/>
    <n v="13"/>
    <n v="4212"/>
    <s v="&lt;&lt;ООО&gt;&gt;&quot;Зарница&quot;"/>
    <d v="2026-02-17T00:00:00"/>
    <d v="2026-02-17T00:00:00"/>
    <d v="2026-02-23T00:00:00"/>
    <s v="Дост. в срок"/>
    <n v="67"/>
  </r>
  <r>
    <s v="Юг"/>
    <x v="5"/>
    <n v="170"/>
    <n v="20"/>
    <n v="5"/>
    <n v="3400"/>
    <s v="&quot;ChinaKO TM&quot;"/>
    <d v="2026-02-20T00:00:00"/>
    <d v="2026-02-19T00:00:00"/>
    <d v="2026-02-19T00:00:00"/>
    <s v="Просрочена"/>
    <n v="25"/>
  </r>
  <r>
    <s v="Юг"/>
    <x v="8"/>
    <n v="260"/>
    <n v="13"/>
    <n v="3"/>
    <n v="3380"/>
    <s v="&quot;Japfruit ComLTD&quot;"/>
    <d v="2026-02-18T00:00:00"/>
    <d v="2026-02-18T00:00:00"/>
    <d v="2026-02-23T00:00:00"/>
    <s v="Дост. в срок"/>
    <n v="16"/>
  </r>
  <r>
    <s v="Юг"/>
    <x v="4"/>
    <n v="80"/>
    <n v="40"/>
    <n v="10"/>
    <n v="3200"/>
    <s v="&lt;&lt;ООО&gt;&gt;&quot;Зарница&quot;"/>
    <d v="2026-02-17T00:00:00"/>
    <d v="2026-02-17T00:00:00"/>
    <d v="2026-02-22T00:00:00"/>
    <s v="Дост. в срок"/>
    <n v="50"/>
  </r>
  <r>
    <s v="Юг"/>
    <x v="12"/>
    <n v="120"/>
    <n v="25"/>
    <n v="6"/>
    <n v="3000"/>
    <s v="&lt;&lt;ООО&gt;&gt;&quot;Зарница&quot;"/>
    <d v="2026-02-17T00:00:00"/>
    <d v="2026-02-17T00:00:00"/>
    <d v="2026-02-24T00:00:00"/>
    <s v="Дост. в срок"/>
    <n v="31"/>
  </r>
  <r>
    <s v="Юг"/>
    <x v="7"/>
    <n v="78"/>
    <n v="35"/>
    <n v="8"/>
    <n v="2730"/>
    <s v="&quot;ChinaKO TM&quot;"/>
    <d v="2026-02-20T00:00:00"/>
    <d v="2026-02-19T00:00:00"/>
    <d v="2026-02-19T00:00:00"/>
    <s v="Просрочена"/>
    <n v="43"/>
  </r>
  <r>
    <s v="Юг"/>
    <x v="11"/>
    <n v="142"/>
    <n v="17"/>
    <n v="4"/>
    <n v="2414"/>
    <s v="&quot;Japfruit ComLTD&quot;"/>
    <d v="2026-02-18T00:00:00"/>
    <d v="2026-02-18T00:00:00"/>
    <d v="2026-02-19T00:00:00"/>
    <s v="Дост. в срок"/>
    <n v="21"/>
  </r>
  <r>
    <s v="Юг"/>
    <x v="9"/>
    <n v="125"/>
    <n v="19"/>
    <n v="4"/>
    <n v="2375"/>
    <s v="&lt;&lt;ООО&gt;&gt;&quot;Зарница&quot;"/>
    <d v="2026-02-17T00:00:00"/>
    <d v="2026-02-17T00:00:00"/>
    <d v="2026-02-23T00:00:00"/>
    <s v="Дост. в срок"/>
    <n v="23"/>
  </r>
  <r>
    <s v="Юг"/>
    <x v="10"/>
    <n v="190"/>
    <n v="12"/>
    <n v="3"/>
    <n v="2280"/>
    <s v="&quot;ChinaKO TM&quot;"/>
    <d v="2026-02-20T00:00:00"/>
    <d v="2026-02-19T00:00:00"/>
    <d v="2026-02-19T00:00:00"/>
    <s v="Просрочена"/>
    <n v="15"/>
  </r>
  <r>
    <s v="Юг"/>
    <x v="13"/>
    <n v="150"/>
    <n v="14"/>
    <n v="3"/>
    <n v="2100"/>
    <s v="&lt;&lt;ООО&gt;&gt;&quot;Зарница&quot;"/>
    <d v="2026-02-17T00:00:00"/>
    <d v="2026-02-17T00:00:00"/>
    <d v="2026-02-19T00:00:00"/>
    <s v="Дост. в срок"/>
    <n v="17"/>
  </r>
  <r>
    <s v="Юг"/>
    <x v="20"/>
    <n v="96"/>
    <n v="20"/>
    <n v="5"/>
    <n v="1920"/>
    <s v="&lt;&lt;ООО&gt;&gt;&quot;Зарница&quot;"/>
    <d v="2026-02-17T00:00:00"/>
    <d v="2026-02-17T00:00:00"/>
    <d v="2026-02-23T00:00:00"/>
    <s v="Дост. в срок"/>
    <n v="25"/>
  </r>
  <r>
    <s v="Юг"/>
    <x v="16"/>
    <n v="100"/>
    <n v="18"/>
    <n v="4"/>
    <n v="1800"/>
    <s v="&quot;ChinaKO TM&quot;"/>
    <d v="2026-02-20T00:00:00"/>
    <d v="2026-02-19T00:00:00"/>
    <d v="2026-02-19T00:00:00"/>
    <s v="Просрочена"/>
    <n v="22"/>
  </r>
  <r>
    <s v="Юг"/>
    <x v="14"/>
    <n v="70"/>
    <n v="25"/>
    <n v="6"/>
    <n v="1750"/>
    <s v="&lt;&lt;ООО&gt;&gt;&quot;Зарница&quot;"/>
    <d v="2026-02-17T00:00:00"/>
    <d v="2026-02-17T00:00:00"/>
    <d v="2026-02-23T00:00:00"/>
    <s v="Дост. в срок"/>
    <n v="31"/>
  </r>
  <r>
    <s v="Юг"/>
    <x v="27"/>
    <n v="90"/>
    <n v="18"/>
    <n v="4"/>
    <n v="1620"/>
    <s v="&lt;&lt;ООО&gt;&gt;&quot;Зарница&quot;"/>
    <d v="2026-02-17T00:00:00"/>
    <d v="2026-02-17T00:00:00"/>
    <d v="2026-02-23T00:00:00"/>
    <s v="Дост. в срок"/>
    <n v="22"/>
  </r>
  <r>
    <s v="Юг"/>
    <x v="18"/>
    <n v="130"/>
    <n v="12"/>
    <n v="3"/>
    <n v="1560"/>
    <s v="&quot;Japfruit ComLTD&quot;"/>
    <d v="2026-02-18T00:00:00"/>
    <d v="2026-02-18T00:00:00"/>
    <d v="2026-02-19T00:00:00"/>
    <s v="Дост. в срок"/>
    <n v="15"/>
  </r>
  <r>
    <s v="Юг"/>
    <x v="19"/>
    <n v="82"/>
    <n v="19"/>
    <n v="4"/>
    <n v="1558"/>
    <s v="&lt;&lt;ООО&gt;&gt;&quot;Зарница&quot;"/>
    <d v="2026-02-17T00:00:00"/>
    <d v="2026-02-17T00:00:00"/>
    <d v="2026-02-23T00:00:00"/>
    <s v="Дост. в срок"/>
    <n v="23"/>
  </r>
  <r>
    <s v="Юг"/>
    <x v="21"/>
    <n v="95"/>
    <n v="16"/>
    <n v="4"/>
    <n v="1520"/>
    <s v="&lt;&lt;ООО&gt;&gt;&quot;Зарница&quot;"/>
    <d v="2026-02-17T00:00:00"/>
    <d v="2026-02-17T00:00:00"/>
    <d v="2026-02-23T00:00:00"/>
    <s v="Дост. в срок"/>
    <n v="20"/>
  </r>
  <r>
    <s v="Юг"/>
    <x v="15"/>
    <n v="150"/>
    <n v="10"/>
    <n v="2"/>
    <n v="1500"/>
    <s v="&lt;&lt;ООО&gt;&gt;&quot;Зарница&quot;"/>
    <d v="2026-02-17T00:00:00"/>
    <d v="2026-02-17T00:00:00"/>
    <d v="2026-02-19T00:00:00"/>
    <s v="Дост. в срок"/>
    <n v="12"/>
  </r>
  <r>
    <s v="Юг"/>
    <x v="22"/>
    <n v="123"/>
    <n v="12"/>
    <n v="3"/>
    <n v="1476"/>
    <s v="&quot;ChinaKO TM&quot;"/>
    <d v="2026-02-20T00:00:00"/>
    <d v="2026-02-19T00:00:00"/>
    <d v="2026-02-22T00:00:00"/>
    <s v="Просрочена"/>
    <n v="15"/>
  </r>
  <r>
    <s v="Юг"/>
    <x v="23"/>
    <n v="105"/>
    <n v="13"/>
    <n v="3"/>
    <n v="1365"/>
    <s v="&quot;Japfruit ComLTD&quot;"/>
    <d v="2026-02-18T00:00:00"/>
    <d v="2026-02-18T00:00:00"/>
    <d v="2026-02-23T00:00:00"/>
    <s v="Дост. в срок"/>
    <n v="16"/>
  </r>
  <r>
    <s v="Юг"/>
    <x v="24"/>
    <n v="163"/>
    <n v="8"/>
    <n v="2"/>
    <n v="1304"/>
    <s v="&quot;Japfruit ComLTD&quot;"/>
    <d v="2026-02-18T00:00:00"/>
    <d v="2026-02-18T00:00:00"/>
    <d v="2026-02-19T00:00:00"/>
    <s v="Дост. в срок"/>
    <n v="10"/>
  </r>
  <r>
    <s v="Юг"/>
    <x v="25"/>
    <n v="76"/>
    <n v="17"/>
    <n v="4"/>
    <n v="1292"/>
    <s v="&lt;&lt;ООО&gt;&gt;&quot;Зарница&quot;"/>
    <d v="2026-02-17T00:00:00"/>
    <d v="2026-02-17T00:00:00"/>
    <d v="2026-02-24T00:00:00"/>
    <s v="Дост. в срок"/>
    <n v="21"/>
  </r>
  <r>
    <s v="Юг"/>
    <x v="26"/>
    <n v="42"/>
    <n v="30"/>
    <n v="7"/>
    <n v="1260"/>
    <s v="&lt;&lt;ООО&gt;&gt;&quot;Зарница&quot;"/>
    <d v="2026-02-17T00:00:00"/>
    <d v="2026-02-17T00:00:00"/>
    <d v="2026-02-24T00:00:00"/>
    <s v="Дост. в срок"/>
    <n v="37"/>
  </r>
  <r>
    <s v="Юг"/>
    <x v="28"/>
    <n v="102"/>
    <n v="10"/>
    <n v="2"/>
    <n v="1020"/>
    <s v="&lt;&lt;ООО&gt;&gt;&quot;Зарница&quot;"/>
    <d v="2026-02-17T00:00:00"/>
    <d v="2026-02-17T00:00:00"/>
    <d v="2026-02-22T00:00:00"/>
    <s v="Дост. в срок"/>
    <n v="12"/>
  </r>
  <r>
    <s v="Юг"/>
    <x v="17"/>
    <n v="163"/>
    <n v="5"/>
    <n v="1"/>
    <n v="815"/>
    <s v="&quot;Japfruit ComLTD&quot;"/>
    <d v="2026-02-18T00:00:00"/>
    <d v="2026-02-18T00:00:00"/>
    <d v="2026-02-24T00:00:00"/>
    <s v="Дост. в срок"/>
    <n v="6"/>
  </r>
  <r>
    <s v="Юг"/>
    <x v="29"/>
    <n v="120"/>
    <n v="2"/>
    <n v="0"/>
    <n v="240"/>
    <s v="&quot;Japfruit ComLTD&quot;"/>
    <d v="2026-02-18T00:00:00"/>
    <d v="2026-02-18T00:00:00"/>
    <d v="2026-02-22T00:00:00"/>
    <s v="Дост. в срок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">
  <r>
    <s v="Восток"/>
    <s v="Картофель"/>
    <n v="56"/>
    <n v="250"/>
    <n v="62"/>
    <n v="14000"/>
    <x v="0"/>
    <d v="2026-02-18T00:00:00"/>
    <d v="2026-02-18T00:00:00"/>
    <d v="2026-02-24T00:00:00"/>
    <x v="0"/>
    <n v="312"/>
  </r>
  <r>
    <s v="Восток"/>
    <s v="Огурцы"/>
    <n v="79"/>
    <n v="120"/>
    <n v="30"/>
    <n v="9480"/>
    <x v="0"/>
    <d v="2026-02-18T00:00:00"/>
    <d v="2026-02-18T00:00:00"/>
    <d v="2026-02-19T00:00:00"/>
    <x v="0"/>
    <n v="150"/>
  </r>
  <r>
    <s v="Восток"/>
    <s v="Помидоры"/>
    <n v="85"/>
    <n v="100"/>
    <n v="25"/>
    <n v="8500"/>
    <x v="0"/>
    <d v="2026-02-18T00:00:00"/>
    <d v="2026-02-18T00:00:00"/>
    <d v="2026-02-20T00:00:00"/>
    <x v="0"/>
    <n v="125"/>
  </r>
  <r>
    <s v="Восток"/>
    <s v="Свекла"/>
    <n v="78"/>
    <n v="54"/>
    <n v="13"/>
    <n v="4212"/>
    <x v="0"/>
    <d v="2026-02-18T00:00:00"/>
    <d v="2026-02-18T00:00:00"/>
    <d v="2026-02-19T00:00:00"/>
    <x v="0"/>
    <n v="67"/>
  </r>
  <r>
    <s v="Восток"/>
    <s v="Морковь"/>
    <n v="89"/>
    <n v="40"/>
    <n v="10"/>
    <n v="3560"/>
    <x v="0"/>
    <d v="2026-02-18T00:00:00"/>
    <d v="2026-02-18T00:00:00"/>
    <d v="2026-02-24T00:00:00"/>
    <x v="0"/>
    <n v="50"/>
  </r>
  <r>
    <s v="Восток"/>
    <s v="Абрикосы"/>
    <n v="170"/>
    <n v="20"/>
    <n v="5"/>
    <n v="3400"/>
    <x v="1"/>
    <d v="2026-02-21T00:00:00"/>
    <d v="2026-02-21T00:00:00"/>
    <d v="2026-02-23T00:00:00"/>
    <x v="0"/>
    <n v="25"/>
  </r>
  <r>
    <s v="Восток"/>
    <s v="Тыква"/>
    <n v="65"/>
    <n v="50"/>
    <n v="12"/>
    <n v="3250"/>
    <x v="0"/>
    <d v="2026-02-18T00:00:00"/>
    <d v="2026-02-18T00:00:00"/>
    <d v="2026-02-25T00:00:00"/>
    <x v="0"/>
    <n v="62"/>
  </r>
  <r>
    <s v="Восток"/>
    <s v="Яблоки"/>
    <n v="78"/>
    <n v="35"/>
    <n v="8"/>
    <n v="2730"/>
    <x v="1"/>
    <d v="2026-02-21T00:00:00"/>
    <d v="2026-02-21T00:00:00"/>
    <d v="2026-02-25T00:00:00"/>
    <x v="0"/>
    <n v="43"/>
  </r>
  <r>
    <s v="Восток"/>
    <s v="Авокадо"/>
    <n v="250"/>
    <n v="10"/>
    <n v="2"/>
    <n v="2500"/>
    <x v="2"/>
    <d v="2026-02-20T00:00:00"/>
    <d v="2026-02-19T00:00:00"/>
    <d v="2026-02-23T00:00:00"/>
    <x v="1"/>
    <n v="12"/>
  </r>
  <r>
    <s v="Восток"/>
    <s v="Пастернак"/>
    <n v="125"/>
    <n v="19"/>
    <n v="4"/>
    <n v="2375"/>
    <x v="0"/>
    <d v="2026-02-18T00:00:00"/>
    <d v="2026-02-18T00:00:00"/>
    <d v="2026-02-24T00:00:00"/>
    <x v="0"/>
    <n v="23"/>
  </r>
  <r>
    <s v="Восток"/>
    <s v="Черешня"/>
    <n v="190"/>
    <n v="12"/>
    <n v="3"/>
    <n v="2280"/>
    <x v="1"/>
    <d v="2026-02-21T00:00:00"/>
    <d v="2026-02-21T00:00:00"/>
    <d v="2026-02-23T00:00:00"/>
    <x v="0"/>
    <n v="15"/>
  </r>
  <r>
    <s v="Восток"/>
    <s v="Батат"/>
    <n v="142"/>
    <n v="15"/>
    <n v="3"/>
    <n v="2130"/>
    <x v="2"/>
    <d v="2026-02-20T00:00:00"/>
    <d v="2026-02-19T00:00:00"/>
    <d v="2026-02-23T00:00:00"/>
    <x v="1"/>
    <n v="18"/>
  </r>
  <r>
    <s v="Восток"/>
    <s v="Баклажан"/>
    <n v="110"/>
    <n v="18"/>
    <n v="4"/>
    <n v="1980"/>
    <x v="0"/>
    <d v="2026-02-18T00:00:00"/>
    <d v="2026-02-18T00:00:00"/>
    <d v="2026-02-22T00:00:00"/>
    <x v="0"/>
    <n v="22"/>
  </r>
  <r>
    <s v="Восток"/>
    <s v="Брокколи"/>
    <n v="150"/>
    <n v="13"/>
    <n v="3"/>
    <n v="1950"/>
    <x v="0"/>
    <d v="2026-02-18T00:00:00"/>
    <d v="2026-02-18T00:00:00"/>
    <d v="2026-02-20T00:00:00"/>
    <x v="0"/>
    <n v="16"/>
  </r>
  <r>
    <s v="Восток"/>
    <s v="Кукуруза"/>
    <n v="76"/>
    <n v="25"/>
    <n v="6"/>
    <n v="1900"/>
    <x v="0"/>
    <d v="2026-02-18T00:00:00"/>
    <d v="2026-02-18T00:00:00"/>
    <d v="2026-02-24T00:00:00"/>
    <x v="0"/>
    <n v="31"/>
  </r>
  <r>
    <s v="Восток"/>
    <s v="Брюква"/>
    <n v="113"/>
    <n v="16"/>
    <n v="4"/>
    <n v="1808"/>
    <x v="0"/>
    <d v="2026-02-18T00:00:00"/>
    <d v="2026-02-18T00:00:00"/>
    <d v="2026-02-20T00:00:00"/>
    <x v="0"/>
    <n v="20"/>
  </r>
  <r>
    <s v="Восток"/>
    <s v="Персики"/>
    <n v="100"/>
    <n v="18"/>
    <n v="4"/>
    <n v="1800"/>
    <x v="1"/>
    <d v="2026-02-21T00:00:00"/>
    <d v="2026-02-21T00:00:00"/>
    <d v="2026-02-22T00:00:00"/>
    <x v="0"/>
    <n v="22"/>
  </r>
  <r>
    <s v="Восток"/>
    <s v="Спаржа"/>
    <n v="163"/>
    <n v="11"/>
    <n v="2"/>
    <n v="1793"/>
    <x v="2"/>
    <d v="2026-02-20T00:00:00"/>
    <d v="2026-02-19T00:00:00"/>
    <d v="2026-02-22T00:00:00"/>
    <x v="1"/>
    <n v="13"/>
  </r>
  <r>
    <s v="Восток"/>
    <s v="Дайкон"/>
    <n v="130"/>
    <n v="12"/>
    <n v="3"/>
    <n v="1560"/>
    <x v="2"/>
    <d v="2026-02-20T00:00:00"/>
    <d v="2026-02-19T00:00:00"/>
    <d v="2026-02-23T00:00:00"/>
    <x v="1"/>
    <n v="15"/>
  </r>
  <r>
    <s v="Восток"/>
    <s v="Репа"/>
    <n v="82"/>
    <n v="19"/>
    <n v="4"/>
    <n v="1558"/>
    <x v="0"/>
    <d v="2026-02-18T00:00:00"/>
    <d v="2026-02-18T00:00:00"/>
    <d v="2026-02-24T00:00:00"/>
    <x v="0"/>
    <n v="23"/>
  </r>
  <r>
    <s v="Восток"/>
    <s v="Патиссон"/>
    <n v="96"/>
    <n v="16"/>
    <n v="4"/>
    <n v="1536"/>
    <x v="0"/>
    <d v="2026-02-18T00:00:00"/>
    <d v="2026-02-18T00:00:00"/>
    <d v="2026-02-20T00:00:00"/>
    <x v="0"/>
    <n v="20"/>
  </r>
  <r>
    <s v="Восток"/>
    <s v="Редис"/>
    <n v="95"/>
    <n v="16"/>
    <n v="4"/>
    <n v="1520"/>
    <x v="0"/>
    <d v="2026-02-18T00:00:00"/>
    <d v="2026-02-18T00:00:00"/>
    <d v="2026-02-19T00:00:00"/>
    <x v="0"/>
    <n v="20"/>
  </r>
  <r>
    <s v="Восток"/>
    <s v="Груши"/>
    <n v="120"/>
    <n v="12"/>
    <n v="3"/>
    <n v="1440"/>
    <x v="1"/>
    <d v="2026-02-21T00:00:00"/>
    <d v="2026-02-21T00:00:00"/>
    <d v="2026-02-22T00:00:00"/>
    <x v="0"/>
    <n v="15"/>
  </r>
  <r>
    <s v="Восток"/>
    <s v="Топинамбур"/>
    <n v="105"/>
    <n v="13"/>
    <n v="3"/>
    <n v="1365"/>
    <x v="2"/>
    <d v="2026-02-20T00:00:00"/>
    <d v="2026-02-19T00:00:00"/>
    <d v="2026-02-24T00:00:00"/>
    <x v="1"/>
    <n v="16"/>
  </r>
  <r>
    <s v="Восток"/>
    <s v="Кольраби"/>
    <n v="163"/>
    <n v="8"/>
    <n v="2"/>
    <n v="1304"/>
    <x v="2"/>
    <d v="2026-02-20T00:00:00"/>
    <d v="2026-02-19T00:00:00"/>
    <d v="2026-02-21T00:00:00"/>
    <x v="1"/>
    <n v="10"/>
  </r>
  <r>
    <s v="Восток"/>
    <s v="Капуста"/>
    <n v="76"/>
    <n v="17"/>
    <n v="4"/>
    <n v="1292"/>
    <x v="0"/>
    <d v="2026-02-18T00:00:00"/>
    <d v="2026-02-18T00:00:00"/>
    <d v="2026-02-24T00:00:00"/>
    <x v="0"/>
    <n v="21"/>
  </r>
  <r>
    <s v="Восток"/>
    <s v="Чеснок"/>
    <n v="42"/>
    <n v="30"/>
    <n v="7"/>
    <n v="1260"/>
    <x v="0"/>
    <d v="2026-02-18T00:00:00"/>
    <d v="2026-02-18T00:00:00"/>
    <d v="2026-02-24T00:00:00"/>
    <x v="0"/>
    <n v="37"/>
  </r>
  <r>
    <s v="Восток"/>
    <s v="Редька"/>
    <n v="90"/>
    <n v="12"/>
    <n v="3"/>
    <n v="1080"/>
    <x v="0"/>
    <d v="2026-02-18T00:00:00"/>
    <d v="2026-02-18T00:00:00"/>
    <d v="2026-02-25T00:00:00"/>
    <x v="0"/>
    <n v="15"/>
  </r>
  <r>
    <s v="Восток"/>
    <s v="Горох"/>
    <n v="102"/>
    <n v="10"/>
    <n v="2"/>
    <n v="1020"/>
    <x v="0"/>
    <d v="2026-02-18T00:00:00"/>
    <d v="2026-02-18T00:00:00"/>
    <d v="2026-02-20T00:00:00"/>
    <x v="0"/>
    <n v="12"/>
  </r>
  <r>
    <s v="Восток"/>
    <s v="Сельдерей"/>
    <n v="120"/>
    <n v="2"/>
    <n v="0"/>
    <n v="240"/>
    <x v="2"/>
    <d v="2026-02-20T00:00:00"/>
    <d v="2026-02-19T00:00:00"/>
    <d v="2026-02-23T00:00:00"/>
    <x v="1"/>
    <n v="2"/>
  </r>
  <r>
    <s v="Запад"/>
    <s v="Картофель"/>
    <n v="65"/>
    <n v="180"/>
    <n v="45"/>
    <n v="11700"/>
    <x v="0"/>
    <d v="2026-02-17T00:00:00"/>
    <d v="2026-02-17T00:00:00"/>
    <d v="2026-02-23T00:00:00"/>
    <x v="0"/>
    <n v="225"/>
  </r>
  <r>
    <s v="Запад"/>
    <s v="Помидоры"/>
    <n v="110"/>
    <n v="50"/>
    <n v="12"/>
    <n v="5500"/>
    <x v="0"/>
    <d v="2026-02-17T00:00:00"/>
    <d v="2026-02-17T00:00:00"/>
    <d v="2026-02-19T00:00:00"/>
    <x v="0"/>
    <n v="62"/>
  </r>
  <r>
    <s v="Запад"/>
    <s v="Огурцы"/>
    <n v="90"/>
    <n v="60"/>
    <n v="15"/>
    <n v="5400"/>
    <x v="0"/>
    <d v="2026-02-17T00:00:00"/>
    <d v="2026-02-17T00:00:00"/>
    <d v="2026-02-19T00:00:00"/>
    <x v="0"/>
    <n v="75"/>
  </r>
  <r>
    <s v="Запад"/>
    <s v="Абрикосы"/>
    <n v="180"/>
    <n v="20"/>
    <n v="5"/>
    <n v="3600"/>
    <x v="1"/>
    <d v="2026-02-20T00:00:00"/>
    <d v="2026-02-18T00:00:00"/>
    <d v="2026-02-23T00:00:00"/>
    <x v="1"/>
    <n v="25"/>
  </r>
  <r>
    <s v="Запад"/>
    <s v="Яблоки"/>
    <n v="78"/>
    <n v="40"/>
    <n v="10"/>
    <n v="3120"/>
    <x v="1"/>
    <d v="2026-02-20T00:00:00"/>
    <d v="2026-02-18T00:00:00"/>
    <d v="2026-02-25T00:00:00"/>
    <x v="1"/>
    <n v="50"/>
  </r>
  <r>
    <s v="Запад"/>
    <s v="Морковь"/>
    <n v="100"/>
    <n v="30"/>
    <n v="7"/>
    <n v="3000"/>
    <x v="0"/>
    <d v="2026-02-17T00:00:00"/>
    <d v="2026-02-17T00:00:00"/>
    <d v="2026-02-20T00:00:00"/>
    <x v="0"/>
    <n v="37"/>
  </r>
  <r>
    <s v="Запад"/>
    <s v="Черешня"/>
    <n v="220"/>
    <n v="12"/>
    <n v="3"/>
    <n v="2640"/>
    <x v="1"/>
    <d v="2026-02-20T00:00:00"/>
    <d v="2026-02-18T00:00:00"/>
    <d v="2026-02-22T00:00:00"/>
    <x v="1"/>
    <n v="15"/>
  </r>
  <r>
    <s v="Запад"/>
    <s v="Пастернак"/>
    <n v="125"/>
    <n v="20"/>
    <n v="5"/>
    <n v="2500"/>
    <x v="0"/>
    <d v="2026-02-17T00:00:00"/>
    <d v="2026-02-17T00:00:00"/>
    <d v="2026-02-24T00:00:00"/>
    <x v="0"/>
    <n v="25"/>
  </r>
  <r>
    <s v="Запад"/>
    <s v="Свекла"/>
    <n v="78"/>
    <n v="30"/>
    <n v="7"/>
    <n v="2340"/>
    <x v="0"/>
    <d v="2026-02-17T00:00:00"/>
    <d v="2026-02-17T00:00:00"/>
    <d v="2026-02-19T00:00:00"/>
    <x v="0"/>
    <n v="37"/>
  </r>
  <r>
    <s v="Запад"/>
    <s v="Баклажан"/>
    <n v="120"/>
    <n v="18"/>
    <n v="4"/>
    <n v="2160"/>
    <x v="0"/>
    <d v="2026-02-17T00:00:00"/>
    <d v="2026-02-17T00:00:00"/>
    <d v="2026-02-26T00:00:00"/>
    <x v="0"/>
    <n v="22"/>
  </r>
  <r>
    <s v="Запад"/>
    <s v="Горох"/>
    <n v="120"/>
    <n v="17"/>
    <n v="4"/>
    <n v="2040"/>
    <x v="0"/>
    <d v="2026-02-17T00:00:00"/>
    <d v="2026-02-17T00:00:00"/>
    <d v="2026-02-20T00:00:00"/>
    <x v="0"/>
    <n v="21"/>
  </r>
  <r>
    <s v="Запад"/>
    <s v="Брюква"/>
    <n v="123"/>
    <n v="16"/>
    <n v="4"/>
    <n v="1968"/>
    <x v="0"/>
    <d v="2026-02-17T00:00:00"/>
    <d v="2026-02-17T00:00:00"/>
    <d v="2026-02-20T00:00:00"/>
    <x v="0"/>
    <n v="20"/>
  </r>
  <r>
    <s v="Запад"/>
    <s v="Кукуруза"/>
    <n v="78"/>
    <n v="25"/>
    <n v="6"/>
    <n v="1950"/>
    <x v="0"/>
    <d v="2026-02-17T00:00:00"/>
    <d v="2026-02-17T00:00:00"/>
    <d v="2026-02-24T00:00:00"/>
    <x v="0"/>
    <n v="31"/>
  </r>
  <r>
    <s v="Запад"/>
    <s v="Дайкон"/>
    <n v="150"/>
    <n v="12"/>
    <n v="3"/>
    <n v="1800"/>
    <x v="2"/>
    <d v="2026-02-19T00:00:00"/>
    <d v="2026-02-19T00:00:00"/>
    <d v="2026-02-24T00:00:00"/>
    <x v="0"/>
    <n v="15"/>
  </r>
  <r>
    <s v="Запад"/>
    <s v="Спаржа"/>
    <n v="163"/>
    <n v="11"/>
    <n v="2"/>
    <n v="1793"/>
    <x v="2"/>
    <d v="2026-02-19T00:00:00"/>
    <d v="2026-02-19T00:00:00"/>
    <d v="2026-02-22T00:00:00"/>
    <x v="0"/>
    <n v="13"/>
  </r>
  <r>
    <s v="Запад"/>
    <s v="Репа"/>
    <n v="90"/>
    <n v="19"/>
    <n v="4"/>
    <n v="1710"/>
    <x v="0"/>
    <d v="2026-02-17T00:00:00"/>
    <d v="2026-02-17T00:00:00"/>
    <d v="2026-02-24T00:00:00"/>
    <x v="0"/>
    <n v="23"/>
  </r>
  <r>
    <s v="Запад"/>
    <s v="Батат"/>
    <n v="170"/>
    <n v="10"/>
    <n v="2"/>
    <n v="1700"/>
    <x v="2"/>
    <d v="2026-02-19T00:00:00"/>
    <d v="2026-02-19T00:00:00"/>
    <d v="2026-02-23T00:00:00"/>
    <x v="0"/>
    <n v="12"/>
  </r>
  <r>
    <s v="Запад"/>
    <s v="Брокколи"/>
    <n v="160"/>
    <n v="10"/>
    <n v="2"/>
    <n v="1600"/>
    <x v="0"/>
    <d v="2026-02-17T00:00:00"/>
    <d v="2026-02-17T00:00:00"/>
    <d v="2026-02-19T00:00:00"/>
    <x v="0"/>
    <n v="12"/>
  </r>
  <r>
    <s v="Запад"/>
    <s v="Персики"/>
    <n v="120"/>
    <n v="13"/>
    <n v="3"/>
    <n v="1560"/>
    <x v="1"/>
    <d v="2026-02-20T00:00:00"/>
    <d v="2026-02-18T00:00:00"/>
    <d v="2026-02-21T00:00:00"/>
    <x v="1"/>
    <n v="16"/>
  </r>
  <r>
    <s v="Запад"/>
    <s v="Редис"/>
    <n v="95"/>
    <n v="16"/>
    <n v="4"/>
    <n v="1520"/>
    <x v="0"/>
    <d v="2026-02-17T00:00:00"/>
    <d v="2026-02-17T00:00:00"/>
    <d v="2026-02-19T00:00:00"/>
    <x v="0"/>
    <n v="20"/>
  </r>
  <r>
    <s v="Запад"/>
    <s v="Груши"/>
    <n v="120"/>
    <n v="12"/>
    <n v="3"/>
    <n v="1440"/>
    <x v="1"/>
    <d v="2026-02-20T00:00:00"/>
    <d v="2026-02-18T00:00:00"/>
    <d v="2026-02-22T00:00:00"/>
    <x v="1"/>
    <n v="15"/>
  </r>
  <r>
    <s v="Запад"/>
    <s v="Авокадо"/>
    <n v="280"/>
    <n v="5"/>
    <n v="1"/>
    <n v="1400"/>
    <x v="2"/>
    <d v="2026-02-19T00:00:00"/>
    <d v="2026-02-19T00:00:00"/>
    <d v="2026-02-22T00:00:00"/>
    <x v="0"/>
    <n v="6"/>
  </r>
  <r>
    <s v="Запад"/>
    <s v="Тыква"/>
    <n v="70"/>
    <n v="20"/>
    <n v="5"/>
    <n v="1400"/>
    <x v="0"/>
    <d v="2026-02-17T00:00:00"/>
    <d v="2026-02-17T00:00:00"/>
    <d v="2026-02-24T00:00:00"/>
    <x v="0"/>
    <n v="25"/>
  </r>
  <r>
    <s v="Запад"/>
    <s v="Патиссон"/>
    <n v="99"/>
    <n v="14"/>
    <n v="3"/>
    <n v="1386"/>
    <x v="0"/>
    <d v="2026-02-17T00:00:00"/>
    <d v="2026-02-17T00:00:00"/>
    <d v="2026-02-20T00:00:00"/>
    <x v="0"/>
    <n v="17"/>
  </r>
  <r>
    <s v="Запад"/>
    <s v="Топинамбур"/>
    <n v="105"/>
    <n v="13"/>
    <n v="3"/>
    <n v="1365"/>
    <x v="2"/>
    <d v="2026-02-19T00:00:00"/>
    <d v="2026-02-19T00:00:00"/>
    <d v="2026-02-24T00:00:00"/>
    <x v="0"/>
    <n v="16"/>
  </r>
  <r>
    <s v="Запад"/>
    <s v="Капуста"/>
    <n v="80"/>
    <n v="14"/>
    <n v="3"/>
    <n v="1120"/>
    <x v="0"/>
    <d v="2026-02-17T00:00:00"/>
    <d v="2026-02-17T00:00:00"/>
    <d v="2026-02-24T00:00:00"/>
    <x v="0"/>
    <n v="17"/>
  </r>
  <r>
    <s v="Запад"/>
    <s v="Редька"/>
    <n v="100"/>
    <n v="10"/>
    <n v="2"/>
    <n v="1000"/>
    <x v="0"/>
    <d v="2026-02-17T00:00:00"/>
    <d v="2026-02-17T00:00:00"/>
    <d v="2026-02-25T00:00:00"/>
    <x v="0"/>
    <n v="12"/>
  </r>
  <r>
    <s v="Запад"/>
    <s v="Кольраби"/>
    <n v="186"/>
    <n v="5"/>
    <n v="1"/>
    <n v="930"/>
    <x v="2"/>
    <d v="2026-02-19T00:00:00"/>
    <d v="2026-02-19T00:00:00"/>
    <d v="2026-02-21T00:00:00"/>
    <x v="0"/>
    <n v="6"/>
  </r>
  <r>
    <s v="Запад"/>
    <s v="Чеснок"/>
    <n v="42"/>
    <n v="20"/>
    <n v="5"/>
    <n v="840"/>
    <x v="0"/>
    <d v="2026-02-17T00:00:00"/>
    <d v="2026-02-17T00:00:00"/>
    <d v="2026-02-24T00:00:00"/>
    <x v="0"/>
    <n v="25"/>
  </r>
  <r>
    <s v="Запад"/>
    <s v="Сельдерей"/>
    <n v="120"/>
    <n v="2"/>
    <n v="0"/>
    <n v="240"/>
    <x v="2"/>
    <d v="2026-02-19T00:00:00"/>
    <d v="2026-02-19T00:00:00"/>
    <d v="2026-02-23T00:00:00"/>
    <x v="0"/>
    <n v="2"/>
  </r>
  <r>
    <s v="Север"/>
    <s v="Яблоки"/>
    <n v="1000"/>
    <n v="350"/>
    <n v="87"/>
    <n v="350000"/>
    <x v="1"/>
    <d v="2026-02-20T00:00:00"/>
    <d v="2026-02-19T00:00:00"/>
    <d v="2026-02-19T00:00:00"/>
    <x v="1"/>
    <n v="437"/>
  </r>
  <r>
    <s v="Север"/>
    <s v="Картофель"/>
    <n v="60"/>
    <n v="200"/>
    <n v="50"/>
    <n v="12000"/>
    <x v="0"/>
    <d v="2026-02-17T00:00:00"/>
    <d v="2026-02-17T00:00:00"/>
    <d v="2026-02-23T00:00:00"/>
    <x v="0"/>
    <n v="250"/>
  </r>
  <r>
    <s v="Север"/>
    <s v="Огурцы"/>
    <n v="85"/>
    <n v="100"/>
    <n v="25"/>
    <n v="8500"/>
    <x v="0"/>
    <d v="2026-02-17T00:00:00"/>
    <d v="2026-02-17T00:00:00"/>
    <d v="2026-02-19T00:00:00"/>
    <x v="0"/>
    <n v="125"/>
  </r>
  <r>
    <s v="Север"/>
    <s v="Свекла"/>
    <n v="88"/>
    <n v="54"/>
    <n v="13"/>
    <n v="4752"/>
    <x v="0"/>
    <d v="2026-02-17T00:00:00"/>
    <d v="2026-02-17T00:00:00"/>
    <d v="2026-02-23T00:00:00"/>
    <x v="0"/>
    <n v="67"/>
  </r>
  <r>
    <s v="Север"/>
    <s v="Помидоры"/>
    <n v="90"/>
    <n v="50"/>
    <n v="12"/>
    <n v="4500"/>
    <x v="0"/>
    <d v="2026-02-17T00:00:00"/>
    <d v="2026-02-17T00:00:00"/>
    <d v="2026-02-19T00:00:00"/>
    <x v="0"/>
    <n v="62"/>
  </r>
  <r>
    <s v="Север"/>
    <s v="Морковь"/>
    <n v="95"/>
    <n v="45"/>
    <n v="11"/>
    <n v="4275"/>
    <x v="0"/>
    <d v="2026-02-17T00:00:00"/>
    <d v="2026-02-17T00:00:00"/>
    <d v="2026-02-22T00:00:00"/>
    <x v="0"/>
    <n v="56"/>
  </r>
  <r>
    <s v="Север"/>
    <s v="Авокадо"/>
    <n v="270"/>
    <n v="15"/>
    <n v="3"/>
    <n v="4050"/>
    <x v="2"/>
    <d v="2026-02-18T00:00:00"/>
    <d v="2026-02-18T00:00:00"/>
    <d v="2026-02-23T00:00:00"/>
    <x v="0"/>
    <n v="18"/>
  </r>
  <r>
    <s v="Север"/>
    <s v="Кольраби"/>
    <n v="190"/>
    <n v="19"/>
    <n v="4"/>
    <n v="3610"/>
    <x v="2"/>
    <d v="2026-02-18T00:00:00"/>
    <d v="2026-02-18T00:00:00"/>
    <d v="2026-02-19T00:00:00"/>
    <x v="0"/>
    <n v="23"/>
  </r>
  <r>
    <s v="Север"/>
    <s v="Батат"/>
    <n v="150"/>
    <n v="24"/>
    <n v="6"/>
    <n v="3600"/>
    <x v="2"/>
    <d v="2026-02-18T00:00:00"/>
    <d v="2026-02-18T00:00:00"/>
    <d v="2026-02-19T00:00:00"/>
    <x v="0"/>
    <n v="30"/>
  </r>
  <r>
    <s v="Север"/>
    <s v="Абрикосы"/>
    <n v="170"/>
    <n v="20"/>
    <n v="5"/>
    <n v="3400"/>
    <x v="1"/>
    <d v="2026-02-20T00:00:00"/>
    <d v="2026-02-19T00:00:00"/>
    <d v="2026-02-19T00:00:00"/>
    <x v="1"/>
    <n v="25"/>
  </r>
  <r>
    <s v="Север"/>
    <s v="Груши"/>
    <n v="150"/>
    <n v="20"/>
    <n v="5"/>
    <n v="3000"/>
    <x v="1"/>
    <d v="2026-02-20T00:00:00"/>
    <d v="2026-02-19T00:00:00"/>
    <d v="2026-02-22T00:00:00"/>
    <x v="1"/>
    <n v="25"/>
  </r>
  <r>
    <s v="Север"/>
    <s v="Тыква"/>
    <n v="70"/>
    <n v="40"/>
    <n v="10"/>
    <n v="2800"/>
    <x v="0"/>
    <d v="2026-02-17T00:00:00"/>
    <d v="2026-02-17T00:00:00"/>
    <d v="2026-02-23T00:00:00"/>
    <x v="0"/>
    <n v="50"/>
  </r>
  <r>
    <s v="Север"/>
    <s v="Пастернак"/>
    <n v="125"/>
    <n v="19"/>
    <n v="4"/>
    <n v="2375"/>
    <x v="0"/>
    <d v="2026-02-17T00:00:00"/>
    <d v="2026-02-17T00:00:00"/>
    <d v="2026-02-23T00:00:00"/>
    <x v="0"/>
    <n v="23"/>
  </r>
  <r>
    <s v="Север"/>
    <s v="Персики"/>
    <n v="120"/>
    <n v="19"/>
    <n v="4"/>
    <n v="2280"/>
    <x v="1"/>
    <d v="2026-02-20T00:00:00"/>
    <d v="2026-02-19T00:00:00"/>
    <d v="2026-02-19T00:00:00"/>
    <x v="1"/>
    <n v="23"/>
  </r>
  <r>
    <s v="Север"/>
    <s v="Черешня"/>
    <n v="190"/>
    <n v="12"/>
    <n v="3"/>
    <n v="2280"/>
    <x v="1"/>
    <d v="2026-02-20T00:00:00"/>
    <d v="2026-02-19T00:00:00"/>
    <d v="2026-02-19T00:00:00"/>
    <x v="1"/>
    <n v="15"/>
  </r>
  <r>
    <s v="Север"/>
    <s v="Баклажан"/>
    <n v="110"/>
    <n v="18"/>
    <n v="4"/>
    <n v="1980"/>
    <x v="0"/>
    <d v="2026-02-17T00:00:00"/>
    <d v="2026-02-17T00:00:00"/>
    <d v="2026-02-22T00:00:00"/>
    <x v="0"/>
    <n v="22"/>
  </r>
  <r>
    <s v="Север"/>
    <s v="Редис"/>
    <n v="120"/>
    <n v="16"/>
    <n v="4"/>
    <n v="1920"/>
    <x v="0"/>
    <d v="2026-02-17T00:00:00"/>
    <d v="2026-02-17T00:00:00"/>
    <d v="2026-02-23T00:00:00"/>
    <x v="0"/>
    <n v="20"/>
  </r>
  <r>
    <s v="Север"/>
    <s v="Брюква"/>
    <n v="113"/>
    <n v="16"/>
    <n v="4"/>
    <n v="1808"/>
    <x v="0"/>
    <d v="2026-02-17T00:00:00"/>
    <d v="2026-02-17T00:00:00"/>
    <d v="2026-02-19T00:00:00"/>
    <x v="0"/>
    <n v="20"/>
  </r>
  <r>
    <s v="Север"/>
    <s v="Горох"/>
    <n v="120"/>
    <n v="15"/>
    <n v="3"/>
    <n v="1800"/>
    <x v="0"/>
    <d v="2026-02-17T00:00:00"/>
    <d v="2026-02-17T00:00:00"/>
    <d v="2026-02-22T00:00:00"/>
    <x v="0"/>
    <n v="18"/>
  </r>
  <r>
    <s v="Север"/>
    <s v="Спаржа"/>
    <n v="163"/>
    <n v="11"/>
    <n v="2"/>
    <n v="1793"/>
    <x v="2"/>
    <d v="2026-02-18T00:00:00"/>
    <d v="2026-02-18T00:00:00"/>
    <d v="2026-02-22T00:00:00"/>
    <x v="0"/>
    <n v="13"/>
  </r>
  <r>
    <s v="Север"/>
    <s v="Репа"/>
    <n v="90"/>
    <n v="19"/>
    <n v="4"/>
    <n v="1710"/>
    <x v="0"/>
    <d v="2026-02-17T00:00:00"/>
    <d v="2026-02-17T00:00:00"/>
    <d v="2026-02-23T00:00:00"/>
    <x v="0"/>
    <n v="23"/>
  </r>
  <r>
    <s v="Север"/>
    <s v="Брокколи"/>
    <n v="170"/>
    <n v="10"/>
    <n v="2"/>
    <n v="1700"/>
    <x v="0"/>
    <d v="2026-02-17T00:00:00"/>
    <d v="2026-02-17T00:00:00"/>
    <d v="2026-02-19T00:00:00"/>
    <x v="0"/>
    <n v="12"/>
  </r>
  <r>
    <s v="Север"/>
    <s v="Капуста"/>
    <n v="90"/>
    <n v="18"/>
    <n v="4"/>
    <n v="1620"/>
    <x v="0"/>
    <d v="2026-02-17T00:00:00"/>
    <d v="2026-02-17T00:00:00"/>
    <d v="2026-02-23T00:00:00"/>
    <x v="0"/>
    <n v="22"/>
  </r>
  <r>
    <s v="Север"/>
    <s v="Чеснок"/>
    <n v="70"/>
    <n v="20"/>
    <n v="5"/>
    <n v="1400"/>
    <x v="0"/>
    <d v="2026-02-17T00:00:00"/>
    <d v="2026-02-17T00:00:00"/>
    <d v="2026-02-22T00:00:00"/>
    <x v="0"/>
    <n v="25"/>
  </r>
  <r>
    <s v="Север"/>
    <s v="Топинамбур"/>
    <n v="105"/>
    <n v="13"/>
    <n v="3"/>
    <n v="1365"/>
    <x v="2"/>
    <d v="2026-02-18T00:00:00"/>
    <d v="2026-02-18T00:00:00"/>
    <d v="2026-02-23T00:00:00"/>
    <x v="0"/>
    <n v="16"/>
  </r>
  <r>
    <s v="Север"/>
    <s v="Патиссон"/>
    <n v="96"/>
    <n v="14"/>
    <n v="3"/>
    <n v="1344"/>
    <x v="0"/>
    <d v="2026-02-17T00:00:00"/>
    <d v="2026-02-17T00:00:00"/>
    <d v="2026-02-23T00:00:00"/>
    <x v="0"/>
    <n v="17"/>
  </r>
  <r>
    <s v="Север"/>
    <s v="Дайкон"/>
    <n v="130"/>
    <n v="10"/>
    <n v="2"/>
    <n v="1300"/>
    <x v="2"/>
    <d v="2026-02-18T00:00:00"/>
    <d v="2026-02-18T00:00:00"/>
    <d v="2026-02-19T00:00:00"/>
    <x v="0"/>
    <n v="12"/>
  </r>
  <r>
    <s v="Север"/>
    <s v="Кукуруза"/>
    <n v="76"/>
    <n v="15"/>
    <n v="3"/>
    <n v="1140"/>
    <x v="0"/>
    <d v="2026-02-17T00:00:00"/>
    <d v="2026-02-17T00:00:00"/>
    <d v="2026-02-23T00:00:00"/>
    <x v="0"/>
    <n v="18"/>
  </r>
  <r>
    <s v="Север"/>
    <s v="Редька"/>
    <n v="90"/>
    <n v="12"/>
    <n v="3"/>
    <n v="1080"/>
    <x v="0"/>
    <d v="2026-02-17T00:00:00"/>
    <d v="2026-02-17T00:00:00"/>
    <d v="2026-02-23T00:00:00"/>
    <x v="0"/>
    <n v="15"/>
  </r>
  <r>
    <s v="Север"/>
    <s v="Сельдерей"/>
    <n v="120"/>
    <n v="2"/>
    <n v="0"/>
    <n v="240"/>
    <x v="2"/>
    <d v="2026-02-18T00:00:00"/>
    <d v="2026-02-18T00:00:00"/>
    <d v="2026-02-22T00:00:00"/>
    <x v="0"/>
    <n v="2"/>
  </r>
  <r>
    <s v="Юг"/>
    <s v="Картофель"/>
    <n v="56"/>
    <n v="300"/>
    <n v="75"/>
    <n v="16800"/>
    <x v="0"/>
    <d v="2026-02-17T00:00:00"/>
    <d v="2026-02-17T00:00:00"/>
    <d v="2026-02-24T00:00:00"/>
    <x v="0"/>
    <n v="375"/>
  </r>
  <r>
    <s v="Юг"/>
    <s v="Помидоры"/>
    <n v="88"/>
    <n v="150"/>
    <n v="37"/>
    <n v="13200"/>
    <x v="0"/>
    <d v="2026-02-17T00:00:00"/>
    <d v="2026-02-17T00:00:00"/>
    <d v="2026-02-19T00:00:00"/>
    <x v="0"/>
    <n v="187"/>
  </r>
  <r>
    <s v="Юг"/>
    <s v="Огурцы"/>
    <n v="80"/>
    <n v="130"/>
    <n v="32"/>
    <n v="10400"/>
    <x v="0"/>
    <d v="2026-02-17T00:00:00"/>
    <d v="2026-02-17T00:00:00"/>
    <d v="2026-02-19T00:00:00"/>
    <x v="0"/>
    <n v="162"/>
  </r>
  <r>
    <s v="Юг"/>
    <s v="Тыква"/>
    <n v="67"/>
    <n v="75"/>
    <n v="18"/>
    <n v="5025"/>
    <x v="0"/>
    <d v="2026-02-17T00:00:00"/>
    <d v="2026-02-17T00:00:00"/>
    <d v="2026-02-23T00:00:00"/>
    <x v="0"/>
    <n v="93"/>
  </r>
  <r>
    <s v="Юг"/>
    <s v="Свекла"/>
    <n v="78"/>
    <n v="54"/>
    <n v="13"/>
    <n v="4212"/>
    <x v="0"/>
    <d v="2026-02-17T00:00:00"/>
    <d v="2026-02-17T00:00:00"/>
    <d v="2026-02-23T00:00:00"/>
    <x v="0"/>
    <n v="67"/>
  </r>
  <r>
    <s v="Юг"/>
    <s v="Абрикосы"/>
    <n v="170"/>
    <n v="20"/>
    <n v="5"/>
    <n v="3400"/>
    <x v="1"/>
    <d v="2026-02-20T00:00:00"/>
    <d v="2026-02-19T00:00:00"/>
    <d v="2026-02-19T00:00:00"/>
    <x v="1"/>
    <n v="25"/>
  </r>
  <r>
    <s v="Юг"/>
    <s v="Авокадо"/>
    <n v="260"/>
    <n v="13"/>
    <n v="3"/>
    <n v="3380"/>
    <x v="2"/>
    <d v="2026-02-18T00:00:00"/>
    <d v="2026-02-18T00:00:00"/>
    <d v="2026-02-23T00:00:00"/>
    <x v="0"/>
    <n v="16"/>
  </r>
  <r>
    <s v="Юг"/>
    <s v="Морковь"/>
    <n v="80"/>
    <n v="40"/>
    <n v="10"/>
    <n v="3200"/>
    <x v="0"/>
    <d v="2026-02-17T00:00:00"/>
    <d v="2026-02-17T00:00:00"/>
    <d v="2026-02-22T00:00:00"/>
    <x v="0"/>
    <n v="50"/>
  </r>
  <r>
    <s v="Юг"/>
    <s v="Баклажан"/>
    <n v="120"/>
    <n v="25"/>
    <n v="6"/>
    <n v="3000"/>
    <x v="0"/>
    <d v="2026-02-17T00:00:00"/>
    <d v="2026-02-17T00:00:00"/>
    <d v="2026-02-24T00:00:00"/>
    <x v="0"/>
    <n v="31"/>
  </r>
  <r>
    <s v="Юг"/>
    <s v="Яблоки"/>
    <n v="78"/>
    <n v="35"/>
    <n v="8"/>
    <n v="2730"/>
    <x v="1"/>
    <d v="2026-02-20T00:00:00"/>
    <d v="2026-02-19T00:00:00"/>
    <d v="2026-02-19T00:00:00"/>
    <x v="1"/>
    <n v="43"/>
  </r>
  <r>
    <s v="Юг"/>
    <s v="Батат"/>
    <n v="142"/>
    <n v="17"/>
    <n v="4"/>
    <n v="2414"/>
    <x v="2"/>
    <d v="2026-02-18T00:00:00"/>
    <d v="2026-02-18T00:00:00"/>
    <d v="2026-02-19T00:00:00"/>
    <x v="0"/>
    <n v="21"/>
  </r>
  <r>
    <s v="Юг"/>
    <s v="Пастернак"/>
    <n v="125"/>
    <n v="19"/>
    <n v="4"/>
    <n v="2375"/>
    <x v="0"/>
    <d v="2026-02-17T00:00:00"/>
    <d v="2026-02-17T00:00:00"/>
    <d v="2026-02-23T00:00:00"/>
    <x v="0"/>
    <n v="23"/>
  </r>
  <r>
    <s v="Юг"/>
    <s v="Черешня"/>
    <n v="190"/>
    <n v="12"/>
    <n v="3"/>
    <n v="2280"/>
    <x v="1"/>
    <d v="2026-02-20T00:00:00"/>
    <d v="2026-02-19T00:00:00"/>
    <d v="2026-02-19T00:00:00"/>
    <x v="1"/>
    <n v="15"/>
  </r>
  <r>
    <s v="Юг"/>
    <s v="Брокколи"/>
    <n v="150"/>
    <n v="14"/>
    <n v="3"/>
    <n v="2100"/>
    <x v="0"/>
    <d v="2026-02-17T00:00:00"/>
    <d v="2026-02-17T00:00:00"/>
    <d v="2026-02-19T00:00:00"/>
    <x v="0"/>
    <n v="17"/>
  </r>
  <r>
    <s v="Юг"/>
    <s v="Патиссон"/>
    <n v="96"/>
    <n v="20"/>
    <n v="5"/>
    <n v="1920"/>
    <x v="0"/>
    <d v="2026-02-17T00:00:00"/>
    <d v="2026-02-17T00:00:00"/>
    <d v="2026-02-23T00:00:00"/>
    <x v="0"/>
    <n v="25"/>
  </r>
  <r>
    <s v="Юг"/>
    <s v="Персики"/>
    <n v="100"/>
    <n v="18"/>
    <n v="4"/>
    <n v="1800"/>
    <x v="1"/>
    <d v="2026-02-20T00:00:00"/>
    <d v="2026-02-19T00:00:00"/>
    <d v="2026-02-19T00:00:00"/>
    <x v="1"/>
    <n v="22"/>
  </r>
  <r>
    <s v="Юг"/>
    <s v="Кукуруза"/>
    <n v="70"/>
    <n v="25"/>
    <n v="6"/>
    <n v="1750"/>
    <x v="0"/>
    <d v="2026-02-17T00:00:00"/>
    <d v="2026-02-17T00:00:00"/>
    <d v="2026-02-23T00:00:00"/>
    <x v="0"/>
    <n v="31"/>
  </r>
  <r>
    <s v="Юг"/>
    <s v="Редька"/>
    <n v="90"/>
    <n v="18"/>
    <n v="4"/>
    <n v="1620"/>
    <x v="0"/>
    <d v="2026-02-17T00:00:00"/>
    <d v="2026-02-17T00:00:00"/>
    <d v="2026-02-23T00:00:00"/>
    <x v="0"/>
    <n v="22"/>
  </r>
  <r>
    <s v="Юг"/>
    <s v="Дайкон"/>
    <n v="130"/>
    <n v="12"/>
    <n v="3"/>
    <n v="1560"/>
    <x v="2"/>
    <d v="2026-02-18T00:00:00"/>
    <d v="2026-02-18T00:00:00"/>
    <d v="2026-02-19T00:00:00"/>
    <x v="0"/>
    <n v="15"/>
  </r>
  <r>
    <s v="Юг"/>
    <s v="Репа"/>
    <n v="82"/>
    <n v="19"/>
    <n v="4"/>
    <n v="1558"/>
    <x v="0"/>
    <d v="2026-02-17T00:00:00"/>
    <d v="2026-02-17T00:00:00"/>
    <d v="2026-02-23T00:00:00"/>
    <x v="0"/>
    <n v="23"/>
  </r>
  <r>
    <s v="Юг"/>
    <s v="Редис"/>
    <n v="95"/>
    <n v="16"/>
    <n v="4"/>
    <n v="1520"/>
    <x v="0"/>
    <d v="2026-02-17T00:00:00"/>
    <d v="2026-02-17T00:00:00"/>
    <d v="2026-02-23T00:00:00"/>
    <x v="0"/>
    <n v="20"/>
  </r>
  <r>
    <s v="Юг"/>
    <s v="Брюква"/>
    <n v="150"/>
    <n v="10"/>
    <n v="2"/>
    <n v="1500"/>
    <x v="0"/>
    <d v="2026-02-17T00:00:00"/>
    <d v="2026-02-17T00:00:00"/>
    <d v="2026-02-19T00:00:00"/>
    <x v="0"/>
    <n v="12"/>
  </r>
  <r>
    <s v="Юг"/>
    <s v="Груши"/>
    <n v="123"/>
    <n v="12"/>
    <n v="3"/>
    <n v="1476"/>
    <x v="1"/>
    <d v="2026-02-20T00:00:00"/>
    <d v="2026-02-19T00:00:00"/>
    <d v="2026-02-22T00:00:00"/>
    <x v="1"/>
    <n v="15"/>
  </r>
  <r>
    <s v="Юг"/>
    <s v="Топинамбур"/>
    <n v="105"/>
    <n v="13"/>
    <n v="3"/>
    <n v="1365"/>
    <x v="2"/>
    <d v="2026-02-18T00:00:00"/>
    <d v="2026-02-18T00:00:00"/>
    <d v="2026-02-23T00:00:00"/>
    <x v="0"/>
    <n v="16"/>
  </r>
  <r>
    <s v="Юг"/>
    <s v="Кольраби"/>
    <n v="163"/>
    <n v="8"/>
    <n v="2"/>
    <n v="1304"/>
    <x v="2"/>
    <d v="2026-02-18T00:00:00"/>
    <d v="2026-02-18T00:00:00"/>
    <d v="2026-02-19T00:00:00"/>
    <x v="0"/>
    <n v="10"/>
  </r>
  <r>
    <s v="Юг"/>
    <s v="Капуста"/>
    <n v="76"/>
    <n v="17"/>
    <n v="4"/>
    <n v="1292"/>
    <x v="0"/>
    <d v="2026-02-17T00:00:00"/>
    <d v="2026-02-17T00:00:00"/>
    <d v="2026-02-24T00:00:00"/>
    <x v="0"/>
    <n v="21"/>
  </r>
  <r>
    <s v="Юг"/>
    <s v="Чеснок"/>
    <n v="42"/>
    <n v="30"/>
    <n v="7"/>
    <n v="1260"/>
    <x v="0"/>
    <d v="2026-02-17T00:00:00"/>
    <d v="2026-02-17T00:00:00"/>
    <d v="2026-02-24T00:00:00"/>
    <x v="0"/>
    <n v="37"/>
  </r>
  <r>
    <s v="Юг"/>
    <s v="Горох"/>
    <n v="102"/>
    <n v="10"/>
    <n v="2"/>
    <n v="1020"/>
    <x v="0"/>
    <d v="2026-02-17T00:00:00"/>
    <d v="2026-02-17T00:00:00"/>
    <d v="2026-02-22T00:00:00"/>
    <x v="0"/>
    <n v="12"/>
  </r>
  <r>
    <s v="Юг"/>
    <s v="Спаржа"/>
    <n v="163"/>
    <n v="5"/>
    <n v="1"/>
    <n v="815"/>
    <x v="2"/>
    <d v="2026-02-18T00:00:00"/>
    <d v="2026-02-18T00:00:00"/>
    <d v="2026-02-24T00:00:00"/>
    <x v="0"/>
    <n v="6"/>
  </r>
  <r>
    <s v="Юг"/>
    <s v="Сельдерей"/>
    <n v="120"/>
    <n v="2"/>
    <n v="0"/>
    <n v="240"/>
    <x v="2"/>
    <d v="2026-02-18T00:00:00"/>
    <d v="2026-02-18T00:00:00"/>
    <d v="2026-02-22T00:00:00"/>
    <x v="0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20">
  <r>
    <x v="0"/>
    <x v="0"/>
    <n v="56"/>
    <x v="0"/>
    <x v="0"/>
    <n v="14000"/>
    <s v="&lt;&lt;ООО&gt;&gt;&quot;Зарница&quot;"/>
    <d v="2026-02-18T00:00:00"/>
    <d v="2026-02-18T00:00:00"/>
    <d v="2026-02-24T00:00:00"/>
    <s v="Дост. в срок"/>
    <n v="312"/>
  </r>
  <r>
    <x v="0"/>
    <x v="1"/>
    <n v="79"/>
    <x v="1"/>
    <x v="1"/>
    <n v="9480"/>
    <s v="&lt;&lt;ООО&gt;&gt;&quot;Зарница&quot;"/>
    <d v="2026-02-18T00:00:00"/>
    <d v="2026-02-18T00:00:00"/>
    <d v="2026-02-19T00:00:00"/>
    <s v="Дост. в срок"/>
    <n v="150"/>
  </r>
  <r>
    <x v="0"/>
    <x v="2"/>
    <n v="85"/>
    <x v="2"/>
    <x v="2"/>
    <n v="8500"/>
    <s v="&lt;&lt;ООО&gt;&gt;&quot;Зарница&quot;"/>
    <d v="2026-02-18T00:00:00"/>
    <d v="2026-02-18T00:00:00"/>
    <d v="2026-02-20T00:00:00"/>
    <s v="Дост. в срок"/>
    <n v="125"/>
  </r>
  <r>
    <x v="0"/>
    <x v="3"/>
    <n v="78"/>
    <x v="3"/>
    <x v="3"/>
    <n v="4212"/>
    <s v="&lt;&lt;ООО&gt;&gt;&quot;Зарница&quot;"/>
    <d v="2026-02-18T00:00:00"/>
    <d v="2026-02-18T00:00:00"/>
    <d v="2026-02-19T00:00:00"/>
    <s v="Дост. в срок"/>
    <n v="67"/>
  </r>
  <r>
    <x v="0"/>
    <x v="4"/>
    <n v="89"/>
    <x v="4"/>
    <x v="4"/>
    <n v="3560"/>
    <s v="&lt;&lt;ООО&gt;&gt;&quot;Зарница&quot;"/>
    <d v="2026-02-18T00:00:00"/>
    <d v="2026-02-18T00:00:00"/>
    <d v="2026-02-24T00:00:00"/>
    <s v="Дост. в срок"/>
    <n v="50"/>
  </r>
  <r>
    <x v="0"/>
    <x v="5"/>
    <n v="170"/>
    <x v="5"/>
    <x v="5"/>
    <n v="3400"/>
    <s v="&quot;ChinaKO TM&quot;"/>
    <d v="2026-02-21T00:00:00"/>
    <d v="2026-02-21T00:00:00"/>
    <d v="2026-02-23T00:00:00"/>
    <s v="Дост. в срок"/>
    <n v="25"/>
  </r>
  <r>
    <x v="0"/>
    <x v="6"/>
    <n v="65"/>
    <x v="6"/>
    <x v="6"/>
    <n v="3250"/>
    <s v="&lt;&lt;ООО&gt;&gt;&quot;Зарница&quot;"/>
    <d v="2026-02-18T00:00:00"/>
    <d v="2026-02-18T00:00:00"/>
    <d v="2026-02-25T00:00:00"/>
    <s v="Дост. в срок"/>
    <n v="62"/>
  </r>
  <r>
    <x v="0"/>
    <x v="7"/>
    <n v="78"/>
    <x v="7"/>
    <x v="7"/>
    <n v="2730000"/>
    <s v="&quot;ChinaKO TM&quot;"/>
    <d v="2026-02-21T00:00:00"/>
    <d v="2026-02-21T00:00:00"/>
    <d v="2026-02-25T00:00:00"/>
    <s v="Дост. в срок"/>
    <n v="43750"/>
  </r>
  <r>
    <x v="0"/>
    <x v="8"/>
    <n v="250"/>
    <x v="8"/>
    <x v="8"/>
    <n v="2500"/>
    <s v="&quot;Japfruit ComLTD&quot;"/>
    <d v="2026-02-20T00:00:00"/>
    <d v="2026-02-19T00:00:00"/>
    <d v="2026-02-23T00:00:00"/>
    <s v="Просрочена"/>
    <n v="12"/>
  </r>
  <r>
    <x v="0"/>
    <x v="9"/>
    <n v="125"/>
    <x v="9"/>
    <x v="9"/>
    <n v="2375"/>
    <s v="&lt;&lt;ООО&gt;&gt;&quot;Зарница&quot;"/>
    <d v="2026-02-18T00:00:00"/>
    <d v="2026-02-18T00:00:00"/>
    <d v="2026-02-24T00:00:00"/>
    <s v="Дост. в срок"/>
    <n v="23"/>
  </r>
  <r>
    <x v="0"/>
    <x v="10"/>
    <n v="190"/>
    <x v="10"/>
    <x v="10"/>
    <n v="2280"/>
    <s v="&quot;ChinaKO TM&quot;"/>
    <d v="2026-02-21T00:00:00"/>
    <d v="2026-02-21T00:00:00"/>
    <d v="2026-02-23T00:00:00"/>
    <s v="Дост. в срок"/>
    <n v="15"/>
  </r>
  <r>
    <x v="0"/>
    <x v="11"/>
    <n v="142"/>
    <x v="11"/>
    <x v="10"/>
    <n v="2130"/>
    <s v="&quot;Japfruit ComLTD&quot;"/>
    <d v="2026-02-20T00:00:00"/>
    <d v="2026-02-19T00:00:00"/>
    <d v="2026-02-23T00:00:00"/>
    <s v="Просрочена"/>
    <n v="18"/>
  </r>
  <r>
    <x v="0"/>
    <x v="12"/>
    <n v="110"/>
    <x v="12"/>
    <x v="9"/>
    <n v="1980"/>
    <s v="&lt;&lt;ООО&gt;&gt;&quot;Зарница&quot;"/>
    <d v="2026-02-18T00:00:00"/>
    <d v="2026-02-18T00:00:00"/>
    <d v="2026-02-22T00:00:00"/>
    <s v="Дост. в срок"/>
    <n v="22"/>
  </r>
  <r>
    <x v="0"/>
    <x v="13"/>
    <n v="150"/>
    <x v="13"/>
    <x v="10"/>
    <n v="1950"/>
    <s v="&lt;&lt;ООО&gt;&gt;&quot;Зарница&quot;"/>
    <d v="2026-02-18T00:00:00"/>
    <d v="2026-02-18T00:00:00"/>
    <d v="2026-02-20T00:00:00"/>
    <s v="Дост. в срок"/>
    <n v="16"/>
  </r>
  <r>
    <x v="0"/>
    <x v="14"/>
    <n v="76"/>
    <x v="14"/>
    <x v="11"/>
    <n v="1900"/>
    <s v="&lt;&lt;ООО&gt;&gt;&quot;Зарница&quot;"/>
    <d v="2026-02-18T00:00:00"/>
    <d v="2026-02-18T00:00:00"/>
    <d v="2026-02-24T00:00:00"/>
    <s v="Дост. в срок"/>
    <n v="31"/>
  </r>
  <r>
    <x v="0"/>
    <x v="15"/>
    <n v="113"/>
    <x v="15"/>
    <x v="9"/>
    <n v="1808"/>
    <s v="&lt;&lt;ООО&gt;&gt;&quot;Зарница&quot;"/>
    <d v="2026-02-18T00:00:00"/>
    <d v="2026-02-18T00:00:00"/>
    <d v="2026-02-20T00:00:00"/>
    <s v="Дост. в срок"/>
    <n v="20"/>
  </r>
  <r>
    <x v="0"/>
    <x v="16"/>
    <n v="100"/>
    <x v="12"/>
    <x v="9"/>
    <n v="1800"/>
    <s v="&quot;ChinaKO TM&quot;"/>
    <d v="2026-02-21T00:00:00"/>
    <d v="2026-02-21T00:00:00"/>
    <d v="2026-02-22T00:00:00"/>
    <s v="Дост. в срок"/>
    <n v="22"/>
  </r>
  <r>
    <x v="0"/>
    <x v="17"/>
    <n v="163"/>
    <x v="16"/>
    <x v="8"/>
    <n v="1793"/>
    <s v="&quot;Japfruit ComLTD&quot;"/>
    <d v="2026-02-20T00:00:00"/>
    <d v="2026-02-19T00:00:00"/>
    <d v="2026-02-22T00:00:00"/>
    <s v="Просрочена"/>
    <n v="13"/>
  </r>
  <r>
    <x v="0"/>
    <x v="18"/>
    <n v="130"/>
    <x v="10"/>
    <x v="10"/>
    <n v="1560"/>
    <s v="&quot;Japfruit ComLTD&quot;"/>
    <d v="2026-02-20T00:00:00"/>
    <d v="2026-02-19T00:00:00"/>
    <d v="2026-02-23T00:00:00"/>
    <s v="Просрочена"/>
    <n v="15"/>
  </r>
  <r>
    <x v="0"/>
    <x v="19"/>
    <n v="82"/>
    <x v="9"/>
    <x v="9"/>
    <n v="1558"/>
    <s v="&lt;&lt;ООО&gt;&gt;&quot;Зарница&quot;"/>
    <d v="2026-02-18T00:00:00"/>
    <d v="2026-02-18T00:00:00"/>
    <d v="2026-02-24T00:00:00"/>
    <s v="Дост. в срок"/>
    <n v="23"/>
  </r>
  <r>
    <x v="0"/>
    <x v="20"/>
    <n v="96"/>
    <x v="15"/>
    <x v="9"/>
    <n v="1536"/>
    <s v="&lt;&lt;ООО&gt;&gt;&quot;Зарница&quot;"/>
    <d v="2026-02-18T00:00:00"/>
    <d v="2026-02-18T00:00:00"/>
    <d v="2026-02-20T00:00:00"/>
    <s v="Дост. в срок"/>
    <n v="20"/>
  </r>
  <r>
    <x v="0"/>
    <x v="21"/>
    <n v="95"/>
    <x v="15"/>
    <x v="9"/>
    <n v="1520"/>
    <s v="&lt;&lt;ООО&gt;&gt;&quot;Зарница&quot;"/>
    <d v="2026-02-18T00:00:00"/>
    <d v="2026-02-18T00:00:00"/>
    <d v="2026-02-19T00:00:00"/>
    <s v="Дост. в срок"/>
    <n v="20"/>
  </r>
  <r>
    <x v="0"/>
    <x v="22"/>
    <n v="120"/>
    <x v="10"/>
    <x v="10"/>
    <n v="1440"/>
    <s v="&quot;ChinaKO TM&quot;"/>
    <d v="2026-02-21T00:00:00"/>
    <d v="2026-02-21T00:00:00"/>
    <d v="2026-02-22T00:00:00"/>
    <s v="Дост. в срок"/>
    <n v="15"/>
  </r>
  <r>
    <x v="0"/>
    <x v="23"/>
    <n v="105"/>
    <x v="13"/>
    <x v="10"/>
    <n v="1365"/>
    <s v="&quot;Japfruit ComLTD&quot;"/>
    <d v="2026-02-20T00:00:00"/>
    <d v="2026-02-19T00:00:00"/>
    <d v="2026-02-24T00:00:00"/>
    <s v="Просрочена"/>
    <n v="16"/>
  </r>
  <r>
    <x v="0"/>
    <x v="24"/>
    <n v="163"/>
    <x v="17"/>
    <x v="8"/>
    <n v="1304"/>
    <s v="&quot;Japfruit ComLTD&quot;"/>
    <d v="2026-02-20T00:00:00"/>
    <d v="2026-02-19T00:00:00"/>
    <d v="2026-02-21T00:00:00"/>
    <s v="Просрочена"/>
    <n v="10"/>
  </r>
  <r>
    <x v="0"/>
    <x v="25"/>
    <n v="76"/>
    <x v="18"/>
    <x v="9"/>
    <n v="1292"/>
    <s v="&lt;&lt;ООО&gt;&gt;&quot;Зарница&quot;"/>
    <d v="2026-02-18T00:00:00"/>
    <d v="2026-02-18T00:00:00"/>
    <d v="2026-02-24T00:00:00"/>
    <s v="Дост. в срок"/>
    <n v="21"/>
  </r>
  <r>
    <x v="0"/>
    <x v="26"/>
    <n v="42"/>
    <x v="19"/>
    <x v="12"/>
    <n v="1260"/>
    <s v="&lt;&lt;ООО&gt;&gt;&quot;Зарница&quot;"/>
    <d v="2026-02-18T00:00:00"/>
    <d v="2026-02-18T00:00:00"/>
    <d v="2026-02-24T00:00:00"/>
    <s v="Дост. в срок"/>
    <n v="37"/>
  </r>
  <r>
    <x v="0"/>
    <x v="27"/>
    <n v="90"/>
    <x v="10"/>
    <x v="10"/>
    <n v="1080"/>
    <s v="&lt;&lt;ООО&gt;&gt;&quot;Зарница&quot;"/>
    <d v="2026-02-18T00:00:00"/>
    <d v="2026-02-18T00:00:00"/>
    <d v="2026-02-25T00:00:00"/>
    <s v="Дост. в срок"/>
    <n v="15"/>
  </r>
  <r>
    <x v="0"/>
    <x v="28"/>
    <n v="102"/>
    <x v="8"/>
    <x v="8"/>
    <n v="1020"/>
    <s v="&lt;&lt;ООО&gt;&gt;&quot;Зарница&quot;"/>
    <d v="2026-02-18T00:00:00"/>
    <d v="2026-02-18T00:00:00"/>
    <d v="2026-02-20T00:00:00"/>
    <s v="Дост. в срок"/>
    <n v="12"/>
  </r>
  <r>
    <x v="0"/>
    <x v="29"/>
    <n v="120"/>
    <x v="20"/>
    <x v="13"/>
    <n v="240"/>
    <s v="&quot;Japfruit ComLTD&quot;"/>
    <d v="2026-02-20T00:00:00"/>
    <d v="2026-02-19T00:00:00"/>
    <d v="2026-02-23T00:00:00"/>
    <s v="Просрочена"/>
    <n v="2"/>
  </r>
  <r>
    <x v="1"/>
    <x v="0"/>
    <n v="65"/>
    <x v="21"/>
    <x v="14"/>
    <n v="11700"/>
    <s v="&lt;&lt;ООО&gt;&gt;&quot;Зарница&quot;"/>
    <d v="2026-02-17T00:00:00"/>
    <d v="2026-02-17T00:00:00"/>
    <d v="2026-02-23T00:00:00"/>
    <s v="Дост. в срок"/>
    <n v="225"/>
  </r>
  <r>
    <x v="1"/>
    <x v="2"/>
    <n v="110"/>
    <x v="6"/>
    <x v="6"/>
    <n v="5500"/>
    <s v="&lt;&lt;ООО&gt;&gt;&quot;Зарница&quot;"/>
    <d v="2026-02-17T00:00:00"/>
    <d v="2026-02-17T00:00:00"/>
    <d v="2026-02-19T00:00:00"/>
    <s v="Дост. в срок"/>
    <n v="62"/>
  </r>
  <r>
    <x v="1"/>
    <x v="1"/>
    <n v="90"/>
    <x v="22"/>
    <x v="15"/>
    <n v="5400"/>
    <s v="&lt;&lt;ООО&gt;&gt;&quot;Зарница&quot;"/>
    <d v="2026-02-17T00:00:00"/>
    <d v="2026-02-17T00:00:00"/>
    <d v="2026-02-19T00:00:00"/>
    <s v="Дост. в срок"/>
    <n v="75"/>
  </r>
  <r>
    <x v="1"/>
    <x v="5"/>
    <n v="180"/>
    <x v="5"/>
    <x v="5"/>
    <n v="3600"/>
    <s v="&quot;ChinaKO TM&quot;"/>
    <d v="2026-02-20T00:00:00"/>
    <d v="2026-02-18T00:00:00"/>
    <d v="2026-02-23T00:00:00"/>
    <s v="Просрочена"/>
    <n v="25"/>
  </r>
  <r>
    <x v="1"/>
    <x v="7"/>
    <n v="78"/>
    <x v="4"/>
    <x v="4"/>
    <n v="3120"/>
    <s v="&quot;ChinaKO TM&quot;"/>
    <d v="2026-02-20T00:00:00"/>
    <d v="2026-02-18T00:00:00"/>
    <d v="2026-02-25T00:00:00"/>
    <s v="Просрочена"/>
    <n v="50"/>
  </r>
  <r>
    <x v="1"/>
    <x v="4"/>
    <n v="100"/>
    <x v="19"/>
    <x v="12"/>
    <n v="3000"/>
    <s v="&lt;&lt;ООО&gt;&gt;&quot;Зарница&quot;"/>
    <d v="2026-02-17T00:00:00"/>
    <d v="2026-02-17T00:00:00"/>
    <d v="2026-02-20T00:00:00"/>
    <s v="Дост. в срок"/>
    <n v="37"/>
  </r>
  <r>
    <x v="1"/>
    <x v="10"/>
    <n v="220"/>
    <x v="10"/>
    <x v="10"/>
    <n v="2640"/>
    <s v="&quot;ChinaKO TM&quot;"/>
    <d v="2026-02-20T00:00:00"/>
    <d v="2026-02-18T00:00:00"/>
    <d v="2026-02-22T00:00:00"/>
    <s v="Просрочена"/>
    <n v="15"/>
  </r>
  <r>
    <x v="1"/>
    <x v="9"/>
    <n v="125"/>
    <x v="5"/>
    <x v="5"/>
    <n v="2500"/>
    <s v="&lt;&lt;ООО&gt;&gt;&quot;Зарница&quot;"/>
    <d v="2026-02-17T00:00:00"/>
    <d v="2026-02-17T00:00:00"/>
    <d v="2026-02-24T00:00:00"/>
    <s v="Дост. в срок"/>
    <n v="25"/>
  </r>
  <r>
    <x v="1"/>
    <x v="3"/>
    <n v="78"/>
    <x v="19"/>
    <x v="12"/>
    <n v="2340"/>
    <s v="&lt;&lt;ООО&gt;&gt;&quot;Зарница&quot;"/>
    <d v="2026-02-17T00:00:00"/>
    <d v="2026-02-17T00:00:00"/>
    <d v="2026-02-19T00:00:00"/>
    <s v="Дост. в срок"/>
    <n v="37"/>
  </r>
  <r>
    <x v="1"/>
    <x v="12"/>
    <n v="120"/>
    <x v="12"/>
    <x v="9"/>
    <n v="2160"/>
    <s v="&lt;&lt;ООО&gt;&gt;&quot;Зарница&quot;"/>
    <d v="2026-02-17T00:00:00"/>
    <d v="2026-02-17T00:00:00"/>
    <d v="2026-02-26T00:00:00"/>
    <s v="Дост. в срок"/>
    <n v="22"/>
  </r>
  <r>
    <x v="1"/>
    <x v="28"/>
    <n v="120"/>
    <x v="18"/>
    <x v="9"/>
    <n v="2040"/>
    <s v="&lt;&lt;ООО&gt;&gt;&quot;Зарница&quot;"/>
    <d v="2026-02-17T00:00:00"/>
    <d v="2026-02-17T00:00:00"/>
    <d v="2026-02-20T00:00:00"/>
    <s v="Дост. в срок"/>
    <n v="21"/>
  </r>
  <r>
    <x v="1"/>
    <x v="15"/>
    <n v="123"/>
    <x v="15"/>
    <x v="9"/>
    <n v="1968"/>
    <s v="&lt;&lt;ООО&gt;&gt;&quot;Зарница&quot;"/>
    <d v="2026-02-17T00:00:00"/>
    <d v="2026-02-17T00:00:00"/>
    <d v="2026-02-20T00:00:00"/>
    <s v="Дост. в срок"/>
    <n v="20"/>
  </r>
  <r>
    <x v="1"/>
    <x v="14"/>
    <n v="78"/>
    <x v="14"/>
    <x v="11"/>
    <n v="1950"/>
    <s v="&lt;&lt;ООО&gt;&gt;&quot;Зарница&quot;"/>
    <d v="2026-02-17T00:00:00"/>
    <d v="2026-02-17T00:00:00"/>
    <d v="2026-02-24T00:00:00"/>
    <s v="Дост. в срок"/>
    <n v="31"/>
  </r>
  <r>
    <x v="1"/>
    <x v="18"/>
    <n v="150"/>
    <x v="10"/>
    <x v="10"/>
    <n v="1800"/>
    <s v="&quot;Japfruit ComLTD&quot;"/>
    <d v="2026-02-19T00:00:00"/>
    <d v="2026-02-19T00:00:00"/>
    <d v="2026-02-24T00:00:00"/>
    <s v="Дост. в срок"/>
    <n v="15"/>
  </r>
  <r>
    <x v="1"/>
    <x v="17"/>
    <n v="163"/>
    <x v="16"/>
    <x v="8"/>
    <n v="1793"/>
    <s v="&quot;Japfruit ComLTD&quot;"/>
    <d v="2026-02-19T00:00:00"/>
    <d v="2026-02-19T00:00:00"/>
    <d v="2026-02-22T00:00:00"/>
    <s v="Дост. в срок"/>
    <n v="13"/>
  </r>
  <r>
    <x v="1"/>
    <x v="19"/>
    <n v="90"/>
    <x v="9"/>
    <x v="9"/>
    <n v="1710"/>
    <s v="&lt;&lt;ООО&gt;&gt;&quot;Зарница&quot;"/>
    <d v="2026-02-17T00:00:00"/>
    <d v="2026-02-17T00:00:00"/>
    <d v="2026-02-24T00:00:00"/>
    <s v="Дост. в срок"/>
    <n v="23"/>
  </r>
  <r>
    <x v="1"/>
    <x v="11"/>
    <n v="170"/>
    <x v="8"/>
    <x v="8"/>
    <n v="1700"/>
    <s v="&quot;Japfruit ComLTD&quot;"/>
    <d v="2026-02-19T00:00:00"/>
    <d v="2026-02-19T00:00:00"/>
    <d v="2026-02-23T00:00:00"/>
    <s v="Дост. в срок"/>
    <n v="12"/>
  </r>
  <r>
    <x v="1"/>
    <x v="13"/>
    <n v="160"/>
    <x v="8"/>
    <x v="8"/>
    <n v="1600"/>
    <s v="&lt;&lt;ООО&gt;&gt;&quot;Зарница&quot;"/>
    <d v="2026-02-17T00:00:00"/>
    <d v="2026-02-17T00:00:00"/>
    <d v="2026-02-19T00:00:00"/>
    <s v="Дост. в срок"/>
    <n v="12"/>
  </r>
  <r>
    <x v="1"/>
    <x v="16"/>
    <n v="120"/>
    <x v="13"/>
    <x v="10"/>
    <n v="1560"/>
    <s v="&quot;ChinaKO TM&quot;"/>
    <d v="2026-02-20T00:00:00"/>
    <d v="2026-02-18T00:00:00"/>
    <d v="2026-02-21T00:00:00"/>
    <s v="Просрочена"/>
    <n v="16"/>
  </r>
  <r>
    <x v="1"/>
    <x v="21"/>
    <n v="95"/>
    <x v="15"/>
    <x v="9"/>
    <n v="1520"/>
    <s v="&lt;&lt;ООО&gt;&gt;&quot;Зарница&quot;"/>
    <d v="2026-02-17T00:00:00"/>
    <d v="2026-02-17T00:00:00"/>
    <d v="2026-02-19T00:00:00"/>
    <s v="Дост. в срок"/>
    <n v="20"/>
  </r>
  <r>
    <x v="1"/>
    <x v="22"/>
    <n v="120"/>
    <x v="10"/>
    <x v="10"/>
    <n v="1440"/>
    <s v="&quot;ChinaKO TM&quot;"/>
    <d v="2026-02-20T00:00:00"/>
    <d v="2026-02-18T00:00:00"/>
    <d v="2026-02-22T00:00:00"/>
    <s v="Просрочена"/>
    <n v="15"/>
  </r>
  <r>
    <x v="1"/>
    <x v="8"/>
    <n v="280"/>
    <x v="23"/>
    <x v="16"/>
    <n v="1400"/>
    <s v="&quot;Japfruit ComLTD&quot;"/>
    <d v="2026-02-19T00:00:00"/>
    <d v="2026-02-19T00:00:00"/>
    <d v="2026-02-22T00:00:00"/>
    <s v="Дост. в срок"/>
    <n v="6"/>
  </r>
  <r>
    <x v="1"/>
    <x v="6"/>
    <n v="70"/>
    <x v="5"/>
    <x v="5"/>
    <n v="1400"/>
    <s v="&lt;&lt;ООО&gt;&gt;&quot;Зарница&quot;"/>
    <d v="2026-02-17T00:00:00"/>
    <d v="2026-02-17T00:00:00"/>
    <d v="2026-02-24T00:00:00"/>
    <s v="Дост. в срок"/>
    <n v="25"/>
  </r>
  <r>
    <x v="1"/>
    <x v="20"/>
    <n v="99"/>
    <x v="24"/>
    <x v="10"/>
    <n v="1386"/>
    <s v="&lt;&lt;ООО&gt;&gt;&quot;Зарница&quot;"/>
    <d v="2026-02-17T00:00:00"/>
    <d v="2026-02-17T00:00:00"/>
    <d v="2026-02-20T00:00:00"/>
    <s v="Дост. в срок"/>
    <n v="17"/>
  </r>
  <r>
    <x v="1"/>
    <x v="23"/>
    <n v="105"/>
    <x v="13"/>
    <x v="10"/>
    <n v="1365"/>
    <s v="&quot;Japfruit ComLTD&quot;"/>
    <d v="2026-02-19T00:00:00"/>
    <d v="2026-02-19T00:00:00"/>
    <d v="2026-02-24T00:00:00"/>
    <s v="Дост. в срок"/>
    <n v="16"/>
  </r>
  <r>
    <x v="1"/>
    <x v="25"/>
    <n v="80"/>
    <x v="24"/>
    <x v="10"/>
    <n v="1120"/>
    <s v="&lt;&lt;ООО&gt;&gt;&quot;Зарница&quot;"/>
    <d v="2026-02-17T00:00:00"/>
    <d v="2026-02-17T00:00:00"/>
    <d v="2026-02-24T00:00:00"/>
    <s v="Дост. в срок"/>
    <n v="17"/>
  </r>
  <r>
    <x v="1"/>
    <x v="27"/>
    <n v="100"/>
    <x v="8"/>
    <x v="8"/>
    <n v="1000"/>
    <s v="&lt;&lt;ООО&gt;&gt;&quot;Зарница&quot;"/>
    <d v="2026-02-17T00:00:00"/>
    <d v="2026-02-17T00:00:00"/>
    <d v="2026-02-25T00:00:00"/>
    <s v="Дост. в срок"/>
    <n v="12"/>
  </r>
  <r>
    <x v="1"/>
    <x v="24"/>
    <n v="186"/>
    <x v="23"/>
    <x v="16"/>
    <n v="930"/>
    <s v="&quot;Japfruit ComLTD&quot;"/>
    <d v="2026-02-19T00:00:00"/>
    <d v="2026-02-19T00:00:00"/>
    <d v="2026-02-21T00:00:00"/>
    <s v="Дост. в срок"/>
    <n v="6"/>
  </r>
  <r>
    <x v="1"/>
    <x v="26"/>
    <n v="42"/>
    <x v="5"/>
    <x v="5"/>
    <n v="840"/>
    <s v="&lt;&lt;ООО&gt;&gt;&quot;Зарница&quot;"/>
    <d v="2026-02-17T00:00:00"/>
    <d v="2026-02-17T00:00:00"/>
    <d v="2026-02-24T00:00:00"/>
    <s v="Дост. в срок"/>
    <n v="25"/>
  </r>
  <r>
    <x v="1"/>
    <x v="29"/>
    <n v="120"/>
    <x v="20"/>
    <x v="13"/>
    <n v="240"/>
    <s v="&quot;Japfruit ComLTD&quot;"/>
    <d v="2026-02-19T00:00:00"/>
    <d v="2026-02-19T00:00:00"/>
    <d v="2026-02-23T00:00:00"/>
    <s v="Дост. в срок"/>
    <n v="2"/>
  </r>
  <r>
    <x v="2"/>
    <x v="7"/>
    <n v="1000"/>
    <x v="25"/>
    <x v="17"/>
    <n v="350000"/>
    <s v="&quot;ChinaKO TM&quot;"/>
    <d v="2026-02-20T00:00:00"/>
    <d v="2026-02-19T00:00:00"/>
    <d v="2026-02-19T00:00:00"/>
    <s v="Просрочена"/>
    <n v="437"/>
  </r>
  <r>
    <x v="2"/>
    <x v="0"/>
    <n v="60"/>
    <x v="26"/>
    <x v="18"/>
    <n v="12000"/>
    <s v="&lt;&lt;ООО&gt;&gt;&quot;Зарница&quot;"/>
    <d v="2026-02-17T00:00:00"/>
    <d v="2026-02-17T00:00:00"/>
    <d v="2026-02-23T00:00:00"/>
    <s v="Дост. в срок"/>
    <n v="250"/>
  </r>
  <r>
    <x v="2"/>
    <x v="1"/>
    <n v="85"/>
    <x v="2"/>
    <x v="2"/>
    <n v="8500"/>
    <s v="&lt;&lt;ООО&gt;&gt;&quot;Зарница&quot;"/>
    <d v="2026-02-17T00:00:00"/>
    <d v="2026-02-17T00:00:00"/>
    <d v="2026-02-19T00:00:00"/>
    <s v="Дост. в срок"/>
    <n v="125"/>
  </r>
  <r>
    <x v="2"/>
    <x v="3"/>
    <n v="88"/>
    <x v="3"/>
    <x v="3"/>
    <n v="4752"/>
    <s v="&lt;&lt;ООО&gt;&gt;&quot;Зарница&quot;"/>
    <d v="2026-02-17T00:00:00"/>
    <d v="2026-02-17T00:00:00"/>
    <d v="2026-02-23T00:00:00"/>
    <s v="Дост. в срок"/>
    <n v="67"/>
  </r>
  <r>
    <x v="2"/>
    <x v="2"/>
    <n v="90"/>
    <x v="6"/>
    <x v="6"/>
    <n v="4500"/>
    <s v="&lt;&lt;ООО&gt;&gt;&quot;Зарница&quot;"/>
    <d v="2026-02-17T00:00:00"/>
    <d v="2026-02-17T00:00:00"/>
    <d v="2026-02-19T00:00:00"/>
    <s v="Дост. в срок"/>
    <n v="62"/>
  </r>
  <r>
    <x v="2"/>
    <x v="4"/>
    <n v="95"/>
    <x v="27"/>
    <x v="19"/>
    <n v="4275"/>
    <s v="&lt;&lt;ООО&gt;&gt;&quot;Зарница&quot;"/>
    <d v="2026-02-17T00:00:00"/>
    <d v="2026-02-17T00:00:00"/>
    <d v="2026-02-22T00:00:00"/>
    <s v="Дост. в срок"/>
    <n v="56"/>
  </r>
  <r>
    <x v="2"/>
    <x v="8"/>
    <n v="270"/>
    <x v="11"/>
    <x v="10"/>
    <n v="4050"/>
    <s v="&quot;Japfruit ComLTD&quot;"/>
    <d v="2026-02-18T00:00:00"/>
    <d v="2026-02-18T00:00:00"/>
    <d v="2026-02-23T00:00:00"/>
    <s v="Дост. в срок"/>
    <n v="18"/>
  </r>
  <r>
    <x v="2"/>
    <x v="24"/>
    <n v="190"/>
    <x v="9"/>
    <x v="9"/>
    <n v="3610"/>
    <s v="&quot;Japfruit ComLTD&quot;"/>
    <d v="2026-02-18T00:00:00"/>
    <d v="2026-02-18T00:00:00"/>
    <d v="2026-02-19T00:00:00"/>
    <s v="Дост. в срок"/>
    <n v="23"/>
  </r>
  <r>
    <x v="2"/>
    <x v="11"/>
    <n v="150"/>
    <x v="28"/>
    <x v="11"/>
    <n v="3600"/>
    <s v="&quot;Japfruit ComLTD&quot;"/>
    <d v="2026-02-18T00:00:00"/>
    <d v="2026-02-18T00:00:00"/>
    <d v="2026-02-19T00:00:00"/>
    <s v="Дост. в срок"/>
    <n v="30"/>
  </r>
  <r>
    <x v="2"/>
    <x v="5"/>
    <n v="170"/>
    <x v="5"/>
    <x v="5"/>
    <n v="3400"/>
    <s v="&quot;ChinaKO TM&quot;"/>
    <d v="2026-02-20T00:00:00"/>
    <d v="2026-02-19T00:00:00"/>
    <d v="2026-02-19T00:00:00"/>
    <s v="Просрочена"/>
    <n v="25"/>
  </r>
  <r>
    <x v="2"/>
    <x v="22"/>
    <n v="150"/>
    <x v="5"/>
    <x v="5"/>
    <n v="3000"/>
    <s v="&quot;ChinaKO TM&quot;"/>
    <d v="2026-02-20T00:00:00"/>
    <d v="2026-02-19T00:00:00"/>
    <d v="2026-02-22T00:00:00"/>
    <s v="Просрочена"/>
    <n v="25"/>
  </r>
  <r>
    <x v="2"/>
    <x v="6"/>
    <n v="70"/>
    <x v="4"/>
    <x v="4"/>
    <n v="2800"/>
    <s v="&lt;&lt;ООО&gt;&gt;&quot;Зарница&quot;"/>
    <d v="2026-02-17T00:00:00"/>
    <d v="2026-02-17T00:00:00"/>
    <d v="2026-02-23T00:00:00"/>
    <s v="Дост. в срок"/>
    <n v="50"/>
  </r>
  <r>
    <x v="2"/>
    <x v="9"/>
    <n v="125"/>
    <x v="9"/>
    <x v="9"/>
    <n v="2375"/>
    <s v="&lt;&lt;ООО&gt;&gt;&quot;Зарница&quot;"/>
    <d v="2026-02-17T00:00:00"/>
    <d v="2026-02-17T00:00:00"/>
    <d v="2026-02-23T00:00:00"/>
    <s v="Дост. в срок"/>
    <n v="23"/>
  </r>
  <r>
    <x v="2"/>
    <x v="16"/>
    <n v="120"/>
    <x v="9"/>
    <x v="9"/>
    <n v="2280"/>
    <s v="&quot;ChinaKO TM&quot;"/>
    <d v="2026-02-20T00:00:00"/>
    <d v="2026-02-19T00:00:00"/>
    <d v="2026-02-19T00:00:00"/>
    <s v="Просрочена"/>
    <n v="23"/>
  </r>
  <r>
    <x v="2"/>
    <x v="10"/>
    <n v="190"/>
    <x v="10"/>
    <x v="10"/>
    <n v="2280"/>
    <s v="&quot;ChinaKO TM&quot;"/>
    <d v="2026-02-20T00:00:00"/>
    <d v="2026-02-19T00:00:00"/>
    <d v="2026-02-19T00:00:00"/>
    <s v="Просрочена"/>
    <n v="15"/>
  </r>
  <r>
    <x v="2"/>
    <x v="12"/>
    <n v="110"/>
    <x v="12"/>
    <x v="9"/>
    <n v="1980"/>
    <s v="&lt;&lt;ООО&gt;&gt;&quot;Зарница&quot;"/>
    <d v="2026-02-17T00:00:00"/>
    <d v="2026-02-17T00:00:00"/>
    <d v="2026-02-22T00:00:00"/>
    <s v="Дост. в срок"/>
    <n v="22"/>
  </r>
  <r>
    <x v="2"/>
    <x v="21"/>
    <n v="120"/>
    <x v="15"/>
    <x v="9"/>
    <n v="1920"/>
    <s v="&lt;&lt;ООО&gt;&gt;&quot;Зарница&quot;"/>
    <d v="2026-02-17T00:00:00"/>
    <d v="2026-02-17T00:00:00"/>
    <d v="2026-02-23T00:00:00"/>
    <s v="Дост. в срок"/>
    <n v="20"/>
  </r>
  <r>
    <x v="2"/>
    <x v="15"/>
    <n v="113"/>
    <x v="15"/>
    <x v="9"/>
    <n v="1808"/>
    <s v="&lt;&lt;ООО&gt;&gt;&quot;Зарница&quot;"/>
    <d v="2026-02-17T00:00:00"/>
    <d v="2026-02-17T00:00:00"/>
    <d v="2026-02-19T00:00:00"/>
    <s v="Дост. в срок"/>
    <n v="20"/>
  </r>
  <r>
    <x v="2"/>
    <x v="28"/>
    <n v="120"/>
    <x v="11"/>
    <x v="10"/>
    <n v="1800"/>
    <s v="&lt;&lt;ООО&gt;&gt;&quot;Зарница&quot;"/>
    <d v="2026-02-17T00:00:00"/>
    <d v="2026-02-17T00:00:00"/>
    <d v="2026-02-22T00:00:00"/>
    <s v="Дост. в срок"/>
    <n v="18"/>
  </r>
  <r>
    <x v="2"/>
    <x v="17"/>
    <n v="163"/>
    <x v="16"/>
    <x v="8"/>
    <n v="1793"/>
    <s v="&quot;Japfruit ComLTD&quot;"/>
    <d v="2026-02-18T00:00:00"/>
    <d v="2026-02-18T00:00:00"/>
    <d v="2026-02-22T00:00:00"/>
    <s v="Дост. в срок"/>
    <n v="13"/>
  </r>
  <r>
    <x v="2"/>
    <x v="19"/>
    <n v="90"/>
    <x v="9"/>
    <x v="9"/>
    <n v="1710"/>
    <s v="&lt;&lt;ООО&gt;&gt;&quot;Зарница&quot;"/>
    <d v="2026-02-17T00:00:00"/>
    <d v="2026-02-17T00:00:00"/>
    <d v="2026-02-23T00:00:00"/>
    <s v="Дост. в срок"/>
    <n v="23"/>
  </r>
  <r>
    <x v="2"/>
    <x v="13"/>
    <n v="170"/>
    <x v="8"/>
    <x v="8"/>
    <n v="1700"/>
    <s v="&lt;&lt;ООО&gt;&gt;&quot;Зарница&quot;"/>
    <d v="2026-02-17T00:00:00"/>
    <d v="2026-02-17T00:00:00"/>
    <d v="2026-02-19T00:00:00"/>
    <s v="Дост. в срок"/>
    <n v="12"/>
  </r>
  <r>
    <x v="2"/>
    <x v="25"/>
    <n v="90"/>
    <x v="12"/>
    <x v="9"/>
    <n v="1620"/>
    <s v="&lt;&lt;ООО&gt;&gt;&quot;Зарница&quot;"/>
    <d v="2026-02-17T00:00:00"/>
    <d v="2026-02-17T00:00:00"/>
    <d v="2026-02-23T00:00:00"/>
    <s v="Дост. в срок"/>
    <n v="22"/>
  </r>
  <r>
    <x v="2"/>
    <x v="26"/>
    <n v="70"/>
    <x v="5"/>
    <x v="5"/>
    <n v="1400"/>
    <s v="&lt;&lt;ООО&gt;&gt;&quot;Зарница&quot;"/>
    <d v="2026-02-17T00:00:00"/>
    <d v="2026-02-17T00:00:00"/>
    <d v="2026-02-22T00:00:00"/>
    <s v="Дост. в срок"/>
    <n v="25"/>
  </r>
  <r>
    <x v="2"/>
    <x v="23"/>
    <n v="105"/>
    <x v="13"/>
    <x v="10"/>
    <n v="1365"/>
    <s v="&quot;Japfruit ComLTD&quot;"/>
    <d v="2026-02-18T00:00:00"/>
    <d v="2026-02-18T00:00:00"/>
    <d v="2026-02-23T00:00:00"/>
    <s v="Дост. в срок"/>
    <n v="16"/>
  </r>
  <r>
    <x v="2"/>
    <x v="20"/>
    <n v="96"/>
    <x v="24"/>
    <x v="10"/>
    <n v="1344"/>
    <s v="&lt;&lt;ООО&gt;&gt;&quot;Зарница&quot;"/>
    <d v="2026-02-17T00:00:00"/>
    <d v="2026-02-17T00:00:00"/>
    <d v="2026-02-23T00:00:00"/>
    <s v="Дост. в срок"/>
    <n v="17"/>
  </r>
  <r>
    <x v="2"/>
    <x v="18"/>
    <n v="130"/>
    <x v="8"/>
    <x v="8"/>
    <n v="1300"/>
    <s v="&quot;Japfruit ComLTD&quot;"/>
    <d v="2026-02-18T00:00:00"/>
    <d v="2026-02-18T00:00:00"/>
    <d v="2026-02-19T00:00:00"/>
    <s v="Дост. в срок"/>
    <n v="12"/>
  </r>
  <r>
    <x v="2"/>
    <x v="14"/>
    <n v="76"/>
    <x v="11"/>
    <x v="10"/>
    <n v="1140"/>
    <s v="&lt;&lt;ООО&gt;&gt;&quot;Зарница&quot;"/>
    <d v="2026-02-17T00:00:00"/>
    <d v="2026-02-17T00:00:00"/>
    <d v="2026-02-23T00:00:00"/>
    <s v="Дост. в срок"/>
    <n v="18"/>
  </r>
  <r>
    <x v="2"/>
    <x v="27"/>
    <n v="90"/>
    <x v="10"/>
    <x v="10"/>
    <n v="1080"/>
    <s v="&lt;&lt;ООО&gt;&gt;&quot;Зарница&quot;"/>
    <d v="2026-02-17T00:00:00"/>
    <d v="2026-02-17T00:00:00"/>
    <d v="2026-02-23T00:00:00"/>
    <s v="Дост. в срок"/>
    <n v="15"/>
  </r>
  <r>
    <x v="2"/>
    <x v="29"/>
    <n v="120"/>
    <x v="20"/>
    <x v="13"/>
    <n v="240"/>
    <s v="&quot;Japfruit ComLTD&quot;"/>
    <d v="2026-02-18T00:00:00"/>
    <d v="2026-02-18T00:00:00"/>
    <d v="2026-02-22T00:00:00"/>
    <s v="Дост. в срок"/>
    <n v="2"/>
  </r>
  <r>
    <x v="3"/>
    <x v="0"/>
    <n v="56"/>
    <x v="29"/>
    <x v="20"/>
    <n v="16800"/>
    <s v="&lt;&lt;ООО&gt;&gt;&quot;Зарница&quot;"/>
    <d v="2026-02-17T00:00:00"/>
    <d v="2026-02-17T00:00:00"/>
    <d v="2026-02-24T00:00:00"/>
    <s v="Дост. в срок"/>
    <n v="375"/>
  </r>
  <r>
    <x v="3"/>
    <x v="2"/>
    <n v="88"/>
    <x v="30"/>
    <x v="21"/>
    <n v="13200"/>
    <s v="&lt;&lt;ООО&gt;&gt;&quot;Зарница&quot;"/>
    <d v="2026-02-17T00:00:00"/>
    <d v="2026-02-17T00:00:00"/>
    <d v="2026-02-19T00:00:00"/>
    <s v="Дост. в срок"/>
    <n v="187"/>
  </r>
  <r>
    <x v="3"/>
    <x v="1"/>
    <n v="80"/>
    <x v="31"/>
    <x v="22"/>
    <n v="10400"/>
    <s v="&lt;&lt;ООО&gt;&gt;&quot;Зарница&quot;"/>
    <d v="2026-02-17T00:00:00"/>
    <d v="2026-02-17T00:00:00"/>
    <d v="2026-02-19T00:00:00"/>
    <s v="Дост. в срок"/>
    <n v="162"/>
  </r>
  <r>
    <x v="3"/>
    <x v="6"/>
    <n v="67"/>
    <x v="32"/>
    <x v="23"/>
    <n v="5025"/>
    <s v="&lt;&lt;ООО&gt;&gt;&quot;Зарница&quot;"/>
    <d v="2026-02-17T00:00:00"/>
    <d v="2026-02-17T00:00:00"/>
    <d v="2026-02-23T00:00:00"/>
    <s v="Дост. в срок"/>
    <n v="93"/>
  </r>
  <r>
    <x v="3"/>
    <x v="3"/>
    <n v="78"/>
    <x v="3"/>
    <x v="3"/>
    <n v="4212"/>
    <s v="&lt;&lt;ООО&gt;&gt;&quot;Зарница&quot;"/>
    <d v="2026-02-17T00:00:00"/>
    <d v="2026-02-17T00:00:00"/>
    <d v="2026-02-23T00:00:00"/>
    <s v="Дост. в срок"/>
    <n v="67"/>
  </r>
  <r>
    <x v="3"/>
    <x v="5"/>
    <n v="170"/>
    <x v="5"/>
    <x v="5"/>
    <n v="3400"/>
    <s v="&quot;ChinaKO TM&quot;"/>
    <d v="2026-02-20T00:00:00"/>
    <d v="2026-02-19T00:00:00"/>
    <d v="2026-02-19T00:00:00"/>
    <s v="Просрочена"/>
    <n v="25"/>
  </r>
  <r>
    <x v="3"/>
    <x v="8"/>
    <n v="260"/>
    <x v="13"/>
    <x v="10"/>
    <n v="3380"/>
    <s v="&quot;Japfruit ComLTD&quot;"/>
    <d v="2026-02-18T00:00:00"/>
    <d v="2026-02-18T00:00:00"/>
    <d v="2026-02-23T00:00:00"/>
    <s v="Дост. в срок"/>
    <n v="16"/>
  </r>
  <r>
    <x v="3"/>
    <x v="4"/>
    <n v="80"/>
    <x v="4"/>
    <x v="4"/>
    <n v="3200"/>
    <s v="&lt;&lt;ООО&gt;&gt;&quot;Зарница&quot;"/>
    <d v="2026-02-17T00:00:00"/>
    <d v="2026-02-17T00:00:00"/>
    <d v="2026-02-22T00:00:00"/>
    <s v="Дост. в срок"/>
    <n v="50"/>
  </r>
  <r>
    <x v="3"/>
    <x v="12"/>
    <n v="120"/>
    <x v="14"/>
    <x v="11"/>
    <n v="3000"/>
    <s v="&lt;&lt;ООО&gt;&gt;&quot;Зарница&quot;"/>
    <d v="2026-02-17T00:00:00"/>
    <d v="2026-02-17T00:00:00"/>
    <d v="2026-02-24T00:00:00"/>
    <s v="Дост. в срок"/>
    <n v="31"/>
  </r>
  <r>
    <x v="3"/>
    <x v="7"/>
    <n v="78"/>
    <x v="33"/>
    <x v="24"/>
    <n v="2730"/>
    <s v="&quot;ChinaKO TM&quot;"/>
    <d v="2026-02-20T00:00:00"/>
    <d v="2026-02-19T00:00:00"/>
    <d v="2026-02-19T00:00:00"/>
    <s v="Просрочена"/>
    <n v="43"/>
  </r>
  <r>
    <x v="3"/>
    <x v="11"/>
    <n v="142"/>
    <x v="18"/>
    <x v="9"/>
    <n v="2414"/>
    <s v="&quot;Japfruit ComLTD&quot;"/>
    <d v="2026-02-18T00:00:00"/>
    <d v="2026-02-18T00:00:00"/>
    <d v="2026-02-19T00:00:00"/>
    <s v="Дост. в срок"/>
    <n v="21"/>
  </r>
  <r>
    <x v="3"/>
    <x v="9"/>
    <n v="125"/>
    <x v="9"/>
    <x v="9"/>
    <n v="2375"/>
    <s v="&lt;&lt;ООО&gt;&gt;&quot;Зарница&quot;"/>
    <d v="2026-02-17T00:00:00"/>
    <d v="2026-02-17T00:00:00"/>
    <d v="2026-02-23T00:00:00"/>
    <s v="Дост. в срок"/>
    <n v="23"/>
  </r>
  <r>
    <x v="3"/>
    <x v="10"/>
    <n v="190"/>
    <x v="10"/>
    <x v="10"/>
    <n v="2280"/>
    <s v="&quot;ChinaKO TM&quot;"/>
    <d v="2026-02-20T00:00:00"/>
    <d v="2026-02-19T00:00:00"/>
    <d v="2026-02-19T00:00:00"/>
    <s v="Просрочена"/>
    <n v="15"/>
  </r>
  <r>
    <x v="3"/>
    <x v="13"/>
    <n v="150"/>
    <x v="24"/>
    <x v="10"/>
    <n v="2100"/>
    <s v="&lt;&lt;ООО&gt;&gt;&quot;Зарница&quot;"/>
    <d v="2026-02-17T00:00:00"/>
    <d v="2026-02-17T00:00:00"/>
    <d v="2026-02-19T00:00:00"/>
    <s v="Дост. в срок"/>
    <n v="17"/>
  </r>
  <r>
    <x v="3"/>
    <x v="20"/>
    <n v="96"/>
    <x v="5"/>
    <x v="5"/>
    <n v="1920"/>
    <s v="&lt;&lt;ООО&gt;&gt;&quot;Зарница&quot;"/>
    <d v="2026-02-17T00:00:00"/>
    <d v="2026-02-17T00:00:00"/>
    <d v="2026-02-23T00:00:00"/>
    <s v="Дост. в срок"/>
    <n v="25"/>
  </r>
  <r>
    <x v="3"/>
    <x v="16"/>
    <n v="100"/>
    <x v="12"/>
    <x v="9"/>
    <n v="1800"/>
    <s v="&quot;ChinaKO TM&quot;"/>
    <d v="2026-02-20T00:00:00"/>
    <d v="2026-02-19T00:00:00"/>
    <d v="2026-02-19T00:00:00"/>
    <s v="Просрочена"/>
    <n v="22"/>
  </r>
  <r>
    <x v="3"/>
    <x v="14"/>
    <n v="70"/>
    <x v="14"/>
    <x v="11"/>
    <n v="1750"/>
    <s v="&lt;&lt;ООО&gt;&gt;&quot;Зарница&quot;"/>
    <d v="2026-02-17T00:00:00"/>
    <d v="2026-02-17T00:00:00"/>
    <d v="2026-02-23T00:00:00"/>
    <s v="Дост. в срок"/>
    <n v="31"/>
  </r>
  <r>
    <x v="3"/>
    <x v="27"/>
    <n v="90"/>
    <x v="12"/>
    <x v="9"/>
    <n v="1620"/>
    <s v="&lt;&lt;ООО&gt;&gt;&quot;Зарница&quot;"/>
    <d v="2026-02-17T00:00:00"/>
    <d v="2026-02-17T00:00:00"/>
    <d v="2026-02-23T00:00:00"/>
    <s v="Дост. в срок"/>
    <n v="22"/>
  </r>
  <r>
    <x v="3"/>
    <x v="18"/>
    <n v="130"/>
    <x v="10"/>
    <x v="10"/>
    <n v="1560"/>
    <s v="&quot;Japfruit ComLTD&quot;"/>
    <d v="2026-02-18T00:00:00"/>
    <d v="2026-02-18T00:00:00"/>
    <d v="2026-02-19T00:00:00"/>
    <s v="Дост. в срок"/>
    <n v="15"/>
  </r>
  <r>
    <x v="3"/>
    <x v="19"/>
    <n v="82"/>
    <x v="9"/>
    <x v="9"/>
    <n v="1558"/>
    <s v="&lt;&lt;ООО&gt;&gt;&quot;Зарница&quot;"/>
    <d v="2026-02-17T00:00:00"/>
    <d v="2026-02-17T00:00:00"/>
    <d v="2026-02-23T00:00:00"/>
    <s v="Дост. в срок"/>
    <n v="23"/>
  </r>
  <r>
    <x v="3"/>
    <x v="21"/>
    <n v="95"/>
    <x v="15"/>
    <x v="9"/>
    <n v="1520"/>
    <s v="&lt;&lt;ООО&gt;&gt;&quot;Зарница&quot;"/>
    <d v="2026-02-17T00:00:00"/>
    <d v="2026-02-17T00:00:00"/>
    <d v="2026-02-23T00:00:00"/>
    <s v="Дост. в срок"/>
    <n v="20"/>
  </r>
  <r>
    <x v="3"/>
    <x v="15"/>
    <n v="150"/>
    <x v="8"/>
    <x v="8"/>
    <n v="1500"/>
    <s v="&lt;&lt;ООО&gt;&gt;&quot;Зарница&quot;"/>
    <d v="2026-02-17T00:00:00"/>
    <d v="2026-02-17T00:00:00"/>
    <d v="2026-02-19T00:00:00"/>
    <s v="Дост. в срок"/>
    <n v="12"/>
  </r>
  <r>
    <x v="3"/>
    <x v="22"/>
    <n v="123"/>
    <x v="10"/>
    <x v="10"/>
    <n v="1476"/>
    <s v="&quot;ChinaKO TM&quot;"/>
    <d v="2026-02-20T00:00:00"/>
    <d v="2026-02-19T00:00:00"/>
    <d v="2026-02-22T00:00:00"/>
    <s v="Просрочена"/>
    <n v="15"/>
  </r>
  <r>
    <x v="3"/>
    <x v="23"/>
    <n v="105"/>
    <x v="13"/>
    <x v="10"/>
    <n v="1365"/>
    <s v="&quot;Japfruit ComLTD&quot;"/>
    <d v="2026-02-18T00:00:00"/>
    <d v="2026-02-18T00:00:00"/>
    <d v="2026-02-23T00:00:00"/>
    <s v="Дост. в срок"/>
    <n v="16"/>
  </r>
  <r>
    <x v="3"/>
    <x v="24"/>
    <n v="163"/>
    <x v="17"/>
    <x v="8"/>
    <n v="1304"/>
    <s v="&quot;Japfruit ComLTD&quot;"/>
    <d v="2026-02-18T00:00:00"/>
    <d v="2026-02-18T00:00:00"/>
    <d v="2026-02-19T00:00:00"/>
    <s v="Дост. в срок"/>
    <n v="10"/>
  </r>
  <r>
    <x v="3"/>
    <x v="25"/>
    <n v="76"/>
    <x v="18"/>
    <x v="9"/>
    <n v="1292"/>
    <s v="&lt;&lt;ООО&gt;&gt;&quot;Зарница&quot;"/>
    <d v="2026-02-17T00:00:00"/>
    <d v="2026-02-17T00:00:00"/>
    <d v="2026-02-24T00:00:00"/>
    <s v="Дост. в срок"/>
    <n v="21"/>
  </r>
  <r>
    <x v="3"/>
    <x v="26"/>
    <n v="42"/>
    <x v="19"/>
    <x v="12"/>
    <n v="1260"/>
    <s v="&lt;&lt;ООО&gt;&gt;&quot;Зарница&quot;"/>
    <d v="2026-02-17T00:00:00"/>
    <d v="2026-02-17T00:00:00"/>
    <d v="2026-02-24T00:00:00"/>
    <s v="Дост. в срок"/>
    <n v="37"/>
  </r>
  <r>
    <x v="3"/>
    <x v="28"/>
    <n v="102"/>
    <x v="8"/>
    <x v="8"/>
    <n v="1020"/>
    <s v="&lt;&lt;ООО&gt;&gt;&quot;Зарница&quot;"/>
    <d v="2026-02-17T00:00:00"/>
    <d v="2026-02-17T00:00:00"/>
    <d v="2026-02-22T00:00:00"/>
    <s v="Дост. в срок"/>
    <n v="12"/>
  </r>
  <r>
    <x v="3"/>
    <x v="17"/>
    <n v="163"/>
    <x v="23"/>
    <x v="16"/>
    <n v="815"/>
    <s v="&quot;Japfruit ComLTD&quot;"/>
    <d v="2026-02-18T00:00:00"/>
    <d v="2026-02-18T00:00:00"/>
    <d v="2026-02-24T00:00:00"/>
    <s v="Дост. в срок"/>
    <n v="6"/>
  </r>
  <r>
    <x v="3"/>
    <x v="29"/>
    <n v="120"/>
    <x v="20"/>
    <x v="13"/>
    <n v="240"/>
    <s v="&quot;Japfruit ComLTD&quot;"/>
    <d v="2026-02-18T00:00:00"/>
    <d v="2026-02-18T00:00:00"/>
    <d v="2026-02-22T00:00:00"/>
    <s v="Дост. в срок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СводнаяТаблица8" cacheId="0" applyNumberFormats="0" applyBorderFormats="0" applyFontFormats="0" applyPatternFormats="0" applyAlignmentFormats="0" applyWidthHeightFormats="1" dataCaption="" updatedVersion="4" minRefreshableVersion="3" useAutoFormatting="1" itemPrintTitles="1" createdVersion="4" indent="0" outline="1" outlineData="1" multipleFieldFilters="0">
  <location ref="N2:R8" firstHeaderRow="1" firstDataRow="2" firstDataCol="1"/>
  <pivotFields count="12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/>
    <pivotField numFmtId="14" showAll="0"/>
    <pivotField numFmtId="14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из Стоимость" fld="5" baseField="0" baseItem="0"/>
    <dataField name="Среднее из Стоимость" fld="5" subtotal="average" baseField="0" baseItem="0"/>
    <dataField name="Макс из Стоимость" fld="5" subtotal="max" baseField="0" baseItem="0"/>
    <dataField name="Мин из Стоимость" fld="5" subtotal="min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Таблица1" cacheId="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N43:O48" firstHeaderRow="1" firstDataRow="1" firstDataCol="1"/>
  <pivotFields count="12">
    <pivotField showAll="0"/>
    <pivotField axis="axisRow" showAll="0" measureFilter="1">
      <items count="31">
        <item x="5"/>
        <item x="8"/>
        <item x="12"/>
        <item x="11"/>
        <item x="13"/>
        <item x="15"/>
        <item x="28"/>
        <item x="22"/>
        <item x="18"/>
        <item x="25"/>
        <item x="0"/>
        <item x="24"/>
        <item x="14"/>
        <item x="4"/>
        <item x="1"/>
        <item x="9"/>
        <item x="20"/>
        <item x="16"/>
        <item x="2"/>
        <item x="21"/>
        <item x="27"/>
        <item x="19"/>
        <item x="3"/>
        <item x="29"/>
        <item x="17"/>
        <item x="23"/>
        <item x="6"/>
        <item x="10"/>
        <item x="26"/>
        <item x="7"/>
        <item t="default"/>
      </items>
    </pivotField>
    <pivotField showAll="0"/>
    <pivotField showAll="0"/>
    <pivotField showAll="0"/>
    <pivotField dataField="1" showAll="0"/>
    <pivotField showAll="0"/>
    <pivotField numFmtId="14" showAll="0"/>
    <pivotField numFmtId="14" showAll="0"/>
    <pivotField numFmtId="14" showAll="0"/>
    <pivotField showAll="0"/>
    <pivotField showAll="0"/>
  </pivotFields>
  <rowFields count="1">
    <field x="1"/>
  </rowFields>
  <rowItems count="5">
    <i>
      <x v="10"/>
    </i>
    <i>
      <x v="14"/>
    </i>
    <i>
      <x v="18"/>
    </i>
    <i>
      <x v="29"/>
    </i>
    <i t="grand">
      <x/>
    </i>
  </rowItems>
  <colItems count="1">
    <i/>
  </colItems>
  <dataFields count="1">
    <dataField name="Sum из Стоимость" fld="5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СводнаяТаблица4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1:B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из Количество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СводнаяТаблица3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A3:B8" firstHeaderRow="1" firstDataRow="1" firstDataCol="1" rowPageCount="1" colPageCount="1"/>
  <pivotFields count="12">
    <pivotField axis="axisRow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31">
        <item h="1" x="5"/>
        <item h="1" x="8"/>
        <item h="1" x="12"/>
        <item h="1" x="11"/>
        <item h="1" x="13"/>
        <item h="1" x="15"/>
        <item h="1" x="28"/>
        <item h="1" x="22"/>
        <item h="1" x="18"/>
        <item h="1" x="25"/>
        <item h="1" x="0"/>
        <item h="1" x="24"/>
        <item h="1" x="14"/>
        <item h="1" x="4"/>
        <item h="1" x="1"/>
        <item h="1" x="9"/>
        <item h="1" x="20"/>
        <item h="1" x="16"/>
        <item h="1" x="2"/>
        <item h="1" x="21"/>
        <item h="1" x="27"/>
        <item h="1" x="19"/>
        <item h="1" x="3"/>
        <item h="1" x="29"/>
        <item h="1" x="17"/>
        <item h="1" x="23"/>
        <item h="1" x="6"/>
        <item h="1" x="10"/>
        <item h="1" x="26"/>
        <item x="7"/>
        <item t="default"/>
      </items>
    </pivotField>
    <pivotField showAll="0"/>
    <pivotField dataField="1" showAll="0">
      <items count="35">
        <item x="20"/>
        <item x="23"/>
        <item x="17"/>
        <item x="8"/>
        <item x="16"/>
        <item x="10"/>
        <item x="13"/>
        <item x="24"/>
        <item x="11"/>
        <item x="15"/>
        <item x="18"/>
        <item x="12"/>
        <item x="9"/>
        <item x="5"/>
        <item x="28"/>
        <item x="14"/>
        <item x="19"/>
        <item x="33"/>
        <item x="4"/>
        <item x="27"/>
        <item x="6"/>
        <item x="3"/>
        <item x="22"/>
        <item x="32"/>
        <item x="2"/>
        <item x="31"/>
        <item x="30"/>
        <item x="21"/>
        <item x="26"/>
        <item x="29"/>
        <item x="25"/>
        <item x="0"/>
        <item x="1"/>
        <item x="7"/>
        <item t="default"/>
      </items>
    </pivotField>
    <pivotField showAll="0">
      <items count="26">
        <item x="13"/>
        <item x="16"/>
        <item x="8"/>
        <item x="10"/>
        <item x="9"/>
        <item x="5"/>
        <item x="11"/>
        <item x="12"/>
        <item x="24"/>
        <item x="4"/>
        <item x="19"/>
        <item x="6"/>
        <item x="3"/>
        <item x="15"/>
        <item x="23"/>
        <item x="2"/>
        <item x="22"/>
        <item x="21"/>
        <item x="14"/>
        <item x="18"/>
        <item x="20"/>
        <item x="17"/>
        <item x="0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Сумма из Кол-во прод в кг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8" displayName="Таблица8" ref="A1:J31">
  <autoFilter ref="A1:J31" xr:uid="{00000000-0009-0000-0100-000001000000}"/>
  <tableColumns count="10">
    <tableColumn id="1" xr3:uid="{00000000-0010-0000-0000-000001000000}" name="Продукт"/>
    <tableColumn id="2" xr3:uid="{00000000-0010-0000-0000-000002000000}" name="Цена"/>
    <tableColumn id="3" xr3:uid="{00000000-0010-0000-0000-000003000000}" name="Кол-во прод в кг"/>
    <tableColumn id="4" xr3:uid="{00000000-0010-0000-0000-000004000000}" name="Кол-во ост."/>
    <tableColumn id="5" xr3:uid="{00000000-0010-0000-0000-000005000000}" name="Стоимость"/>
    <tableColumn id="6" xr3:uid="{00000000-0010-0000-0000-000006000000}" name="Поставщик"/>
    <tableColumn id="7" xr3:uid="{00000000-0010-0000-0000-000007000000}" name="Дата поставки"/>
    <tableColumn id="8" xr3:uid="{00000000-0010-0000-0000-000008000000}" name="План. Дата поставки"/>
    <tableColumn id="9" xr3:uid="{00000000-0010-0000-0000-000009000000}" name="Дата продажи"/>
    <tableColumn id="10" xr3:uid="{00000000-0010-0000-0000-00000A000000}" name="Сост. Доставки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9" displayName="Таблица9" ref="A1:J31">
  <autoFilter ref="A1:J31" xr:uid="{00000000-0009-0000-0100-000002000000}"/>
  <tableColumns count="10">
    <tableColumn id="1" xr3:uid="{00000000-0010-0000-0100-000001000000}" name="Продукт"/>
    <tableColumn id="2" xr3:uid="{00000000-0010-0000-0100-000002000000}" name="Цена"/>
    <tableColumn id="3" xr3:uid="{00000000-0010-0000-0100-000003000000}" name="Кол-во прод в кг"/>
    <tableColumn id="4" xr3:uid="{00000000-0010-0000-0100-000004000000}" name="Кол-во ост."/>
    <tableColumn id="5" xr3:uid="{00000000-0010-0000-0100-000005000000}" name="Стоимость"/>
    <tableColumn id="6" xr3:uid="{00000000-0010-0000-0100-000006000000}" name="Поставщик"/>
    <tableColumn id="7" xr3:uid="{00000000-0010-0000-0100-000007000000}" name="Дата поставки"/>
    <tableColumn id="8" xr3:uid="{00000000-0010-0000-0100-000008000000}" name="План. Дата поставки"/>
    <tableColumn id="9" xr3:uid="{00000000-0010-0000-0100-000009000000}" name="Дата продажи"/>
    <tableColumn id="10" xr3:uid="{00000000-0010-0000-0100-00000A000000}" name="Сост. Доставки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0" displayName="Таблица10" ref="A1:J31">
  <autoFilter ref="A1:J31" xr:uid="{00000000-0009-0000-0100-000003000000}"/>
  <tableColumns count="10">
    <tableColumn id="1" xr3:uid="{00000000-0010-0000-0200-000001000000}" name="Продукт"/>
    <tableColumn id="2" xr3:uid="{00000000-0010-0000-0200-000002000000}" name="Цена"/>
    <tableColumn id="3" xr3:uid="{00000000-0010-0000-0200-000003000000}" name="Кол-во прод в кг"/>
    <tableColumn id="4" xr3:uid="{00000000-0010-0000-0200-000004000000}" name="Кол-во ост."/>
    <tableColumn id="5" xr3:uid="{00000000-0010-0000-0200-000005000000}" name="Стоимость"/>
    <tableColumn id="6" xr3:uid="{00000000-0010-0000-0200-000006000000}" name="Поставщик"/>
    <tableColumn id="7" xr3:uid="{00000000-0010-0000-0200-000007000000}" name="Дата поставки"/>
    <tableColumn id="8" xr3:uid="{00000000-0010-0000-0200-000008000000}" name="План. Дата поставки"/>
    <tableColumn id="9" xr3:uid="{00000000-0010-0000-0200-000009000000}" name="Дата продажи"/>
    <tableColumn id="10" xr3:uid="{00000000-0010-0000-0200-00000A000000}" name="Сост. Доставк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1" displayName="Таблица1" ref="A1:J31">
  <autoFilter ref="A1:J31" xr:uid="{00000000-0009-0000-0100-000004000000}"/>
  <tableColumns count="10">
    <tableColumn id="1" xr3:uid="{00000000-0010-0000-0300-000001000000}" name="Продукт"/>
    <tableColumn id="2" xr3:uid="{00000000-0010-0000-0300-000002000000}" name="Цена"/>
    <tableColumn id="3" xr3:uid="{00000000-0010-0000-0300-000003000000}" name="Кол-во прод в кг"/>
    <tableColumn id="4" xr3:uid="{00000000-0010-0000-0300-000004000000}" name="Кол-во ост."/>
    <tableColumn id="5" xr3:uid="{00000000-0010-0000-0300-000005000000}" name="Стоимость"/>
    <tableColumn id="6" xr3:uid="{00000000-0010-0000-0300-000006000000}" name="Поставщик"/>
    <tableColumn id="7" xr3:uid="{00000000-0010-0000-0300-000007000000}" name="Дата поставки"/>
    <tableColumn id="8" xr3:uid="{00000000-0010-0000-0300-000008000000}" name="План. Дата поставки"/>
    <tableColumn id="9" xr3:uid="{00000000-0010-0000-0300-000009000000}" name="Дата продажи"/>
    <tableColumn id="10" xr3:uid="{00000000-0010-0000-0300-00000A000000}" name="Сост. Доставки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Таблица12" displayName="Таблица12" ref="A1:L121">
  <autoFilter ref="A1:L121" xr:uid="{00000000-0009-0000-0100-000005000000}"/>
  <tableColumns count="12">
    <tableColumn id="1" xr3:uid="{00000000-0010-0000-0400-000001000000}" name="Магазин"/>
    <tableColumn id="2" xr3:uid="{00000000-0010-0000-0400-000002000000}" name="Продукт"/>
    <tableColumn id="3" xr3:uid="{00000000-0010-0000-0400-000003000000}" name="Цена"/>
    <tableColumn id="4" xr3:uid="{00000000-0010-0000-0400-000004000000}" name="Кол-во прод в кг"/>
    <tableColumn id="5" xr3:uid="{00000000-0010-0000-0400-000005000000}" name="Кол-во ост."/>
    <tableColumn id="6" xr3:uid="{00000000-0010-0000-0400-000006000000}" name="Стоимость"/>
    <tableColumn id="7" xr3:uid="{00000000-0010-0000-0400-000007000000}" name="Поставщик"/>
    <tableColumn id="8" xr3:uid="{00000000-0010-0000-0400-000008000000}" name="Дата поставки"/>
    <tableColumn id="9" xr3:uid="{00000000-0010-0000-0400-000009000000}" name="План. Дата поставки"/>
    <tableColumn id="10" xr3:uid="{00000000-0010-0000-0400-00000A000000}" name="Дата продажи"/>
    <tableColumn id="11" xr3:uid="{00000000-0010-0000-0400-00000B000000}" name="Сост. Доставки"/>
    <tableColumn id="12" xr3:uid="{00000000-0010-0000-0400-00000C000000}" name="Количество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zoomScale="89" workbookViewId="0">
      <selection activeCell="K1" sqref="K1"/>
    </sheetView>
  </sheetViews>
  <sheetFormatPr defaultRowHeight="14.4" x14ac:dyDescent="0.3"/>
  <cols>
    <col min="1" max="2" width="17.77734375" customWidth="1"/>
    <col min="3" max="3" width="19.109375" bestFit="1" customWidth="1"/>
    <col min="4" max="7" width="17.77734375" customWidth="1"/>
    <col min="8" max="8" width="22.88671875" bestFit="1" customWidth="1"/>
    <col min="9" max="10" width="17.77734375" customWidth="1"/>
  </cols>
  <sheetData>
    <row r="1" spans="1:10" ht="19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9.95" customHeight="1" x14ac:dyDescent="0.3">
      <c r="A2" s="3" t="s">
        <v>10</v>
      </c>
      <c r="B2" s="4">
        <v>170</v>
      </c>
      <c r="C2" s="3">
        <v>20</v>
      </c>
      <c r="D2" s="3">
        <f t="shared" ref="D2:D9" si="0">INT(0.25*C2)</f>
        <v>5</v>
      </c>
      <c r="E2" s="4">
        <f t="shared" ref="E2:E9" si="1">B2*C2</f>
        <v>3400</v>
      </c>
      <c r="F2" s="3" t="s">
        <v>11</v>
      </c>
      <c r="G2" s="5">
        <v>46073</v>
      </c>
      <c r="H2" s="6">
        <v>46072</v>
      </c>
      <c r="I2" s="5">
        <v>46072</v>
      </c>
      <c r="J2" s="7" t="str">
        <f t="shared" ref="J2:J9" si="2">IF(G2=H2,"Дост. в срок","Просрочена")</f>
        <v>Просрочена</v>
      </c>
    </row>
    <row r="3" spans="1:10" ht="19.95" customHeight="1" x14ac:dyDescent="0.3">
      <c r="A3" s="8" t="s">
        <v>12</v>
      </c>
      <c r="B3" s="9">
        <v>123</v>
      </c>
      <c r="C3" s="8">
        <v>12</v>
      </c>
      <c r="D3" s="8">
        <f t="shared" si="0"/>
        <v>3</v>
      </c>
      <c r="E3" s="10">
        <f t="shared" si="1"/>
        <v>1476</v>
      </c>
      <c r="F3" s="8" t="s">
        <v>11</v>
      </c>
      <c r="G3" s="11">
        <v>46073</v>
      </c>
      <c r="H3" s="11">
        <v>46072</v>
      </c>
      <c r="I3" s="11">
        <v>46075</v>
      </c>
      <c r="J3" s="12" t="str">
        <f t="shared" si="2"/>
        <v>Просрочена</v>
      </c>
    </row>
    <row r="4" spans="1:10" ht="19.95" customHeight="1" x14ac:dyDescent="0.3">
      <c r="A4" s="8" t="s">
        <v>13</v>
      </c>
      <c r="B4" s="9">
        <v>100</v>
      </c>
      <c r="C4" s="8">
        <v>18</v>
      </c>
      <c r="D4" s="8">
        <f t="shared" si="0"/>
        <v>4</v>
      </c>
      <c r="E4" s="10">
        <f t="shared" si="1"/>
        <v>1800</v>
      </c>
      <c r="F4" s="8" t="s">
        <v>11</v>
      </c>
      <c r="G4" s="11">
        <v>46073</v>
      </c>
      <c r="H4" s="11">
        <v>46072</v>
      </c>
      <c r="I4" s="11">
        <v>46072</v>
      </c>
      <c r="J4" s="12" t="str">
        <f t="shared" si="2"/>
        <v>Просрочена</v>
      </c>
    </row>
    <row r="5" spans="1:10" ht="19.95" customHeight="1" x14ac:dyDescent="0.3">
      <c r="A5" s="8" t="s">
        <v>14</v>
      </c>
      <c r="B5" s="9">
        <v>190</v>
      </c>
      <c r="C5" s="8">
        <v>12</v>
      </c>
      <c r="D5" s="8">
        <f t="shared" si="0"/>
        <v>3</v>
      </c>
      <c r="E5" s="10">
        <f t="shared" si="1"/>
        <v>2280</v>
      </c>
      <c r="F5" s="8" t="s">
        <v>11</v>
      </c>
      <c r="G5" s="11">
        <v>46073</v>
      </c>
      <c r="H5" s="11">
        <v>46072</v>
      </c>
      <c r="I5" s="11">
        <v>46072</v>
      </c>
      <c r="J5" s="12" t="str">
        <f t="shared" si="2"/>
        <v>Просрочена</v>
      </c>
    </row>
    <row r="6" spans="1:10" ht="19.95" customHeight="1" x14ac:dyDescent="0.3">
      <c r="A6" s="8" t="s">
        <v>15</v>
      </c>
      <c r="B6" s="9">
        <v>78</v>
      </c>
      <c r="C6" s="8">
        <v>35</v>
      </c>
      <c r="D6" s="8">
        <f t="shared" si="0"/>
        <v>8</v>
      </c>
      <c r="E6" s="10">
        <f t="shared" si="1"/>
        <v>2730</v>
      </c>
      <c r="F6" s="8" t="s">
        <v>11</v>
      </c>
      <c r="G6" s="11">
        <v>46073</v>
      </c>
      <c r="H6" s="11">
        <v>46072</v>
      </c>
      <c r="I6" s="11">
        <v>46072</v>
      </c>
      <c r="J6" s="12" t="str">
        <f t="shared" si="2"/>
        <v>Просрочена</v>
      </c>
    </row>
    <row r="7" spans="1:10" ht="19.95" customHeight="1" x14ac:dyDescent="0.3">
      <c r="A7" s="8" t="s">
        <v>16</v>
      </c>
      <c r="B7" s="9">
        <v>260</v>
      </c>
      <c r="C7" s="8">
        <v>13</v>
      </c>
      <c r="D7" s="8">
        <f t="shared" si="0"/>
        <v>3</v>
      </c>
      <c r="E7" s="10">
        <f t="shared" si="1"/>
        <v>3380</v>
      </c>
      <c r="F7" s="8" t="s">
        <v>17</v>
      </c>
      <c r="G7" s="11">
        <v>46071</v>
      </c>
      <c r="H7" s="11">
        <v>46071</v>
      </c>
      <c r="I7" s="11">
        <v>46076</v>
      </c>
      <c r="J7" s="12" t="str">
        <f t="shared" si="2"/>
        <v>Дост. в срок</v>
      </c>
    </row>
    <row r="8" spans="1:10" ht="19.95" customHeight="1" x14ac:dyDescent="0.3">
      <c r="A8" s="8" t="s">
        <v>18</v>
      </c>
      <c r="B8" s="9">
        <v>142</v>
      </c>
      <c r="C8" s="8">
        <v>17</v>
      </c>
      <c r="D8" s="8">
        <f t="shared" si="0"/>
        <v>4</v>
      </c>
      <c r="E8" s="10">
        <f t="shared" si="1"/>
        <v>2414</v>
      </c>
      <c r="F8" s="8" t="s">
        <v>17</v>
      </c>
      <c r="G8" s="11">
        <v>46071</v>
      </c>
      <c r="H8" s="11">
        <v>46071</v>
      </c>
      <c r="I8" s="11">
        <v>46072</v>
      </c>
      <c r="J8" s="12" t="str">
        <f t="shared" si="2"/>
        <v>Дост. в срок</v>
      </c>
    </row>
    <row r="9" spans="1:10" ht="19.95" customHeight="1" x14ac:dyDescent="0.3">
      <c r="A9" s="8" t="s">
        <v>19</v>
      </c>
      <c r="B9" s="9">
        <v>130</v>
      </c>
      <c r="C9" s="8">
        <v>12</v>
      </c>
      <c r="D9" s="8">
        <f t="shared" si="0"/>
        <v>3</v>
      </c>
      <c r="E9" s="10">
        <f t="shared" si="1"/>
        <v>1560</v>
      </c>
      <c r="F9" s="8" t="s">
        <v>17</v>
      </c>
      <c r="G9" s="11">
        <v>46071</v>
      </c>
      <c r="H9" s="11">
        <v>46071</v>
      </c>
      <c r="I9" s="11">
        <v>46072</v>
      </c>
      <c r="J9" s="12" t="str">
        <f t="shared" si="2"/>
        <v>Дост. в срок</v>
      </c>
    </row>
    <row r="10" spans="1:10" ht="19.95" customHeight="1" x14ac:dyDescent="0.3">
      <c r="A10" s="8" t="s">
        <v>20</v>
      </c>
      <c r="B10" s="9">
        <v>163</v>
      </c>
      <c r="C10" s="8">
        <v>8</v>
      </c>
      <c r="D10" s="8">
        <f t="shared" ref="D10:D31" si="3">INT(0.25*C10)</f>
        <v>2</v>
      </c>
      <c r="E10" s="10">
        <f t="shared" ref="E10:E31" si="4">B10*C10</f>
        <v>1304</v>
      </c>
      <c r="F10" s="8" t="s">
        <v>17</v>
      </c>
      <c r="G10" s="11">
        <v>46071</v>
      </c>
      <c r="H10" s="11">
        <v>46071</v>
      </c>
      <c r="I10" s="11">
        <v>46072</v>
      </c>
      <c r="J10" s="12" t="str">
        <f t="shared" ref="J10:J31" si="5">IF(G10=H10,"Дост. в срок","Просрочена")</f>
        <v>Дост. в срок</v>
      </c>
    </row>
    <row r="11" spans="1:10" ht="19.95" customHeight="1" x14ac:dyDescent="0.3">
      <c r="A11" s="8" t="s">
        <v>21</v>
      </c>
      <c r="B11" s="9">
        <v>120</v>
      </c>
      <c r="C11" s="8">
        <v>2</v>
      </c>
      <c r="D11" s="8">
        <f t="shared" si="3"/>
        <v>0</v>
      </c>
      <c r="E11" s="10">
        <f t="shared" si="4"/>
        <v>240</v>
      </c>
      <c r="F11" s="8" t="s">
        <v>17</v>
      </c>
      <c r="G11" s="11">
        <v>46071</v>
      </c>
      <c r="H11" s="11">
        <v>46071</v>
      </c>
      <c r="I11" s="11">
        <v>46075</v>
      </c>
      <c r="J11" s="12" t="str">
        <f t="shared" si="5"/>
        <v>Дост. в срок</v>
      </c>
    </row>
    <row r="12" spans="1:10" ht="19.95" customHeight="1" x14ac:dyDescent="0.3">
      <c r="A12" s="8" t="s">
        <v>22</v>
      </c>
      <c r="B12" s="9">
        <v>163</v>
      </c>
      <c r="C12" s="8">
        <v>5</v>
      </c>
      <c r="D12" s="8">
        <f t="shared" si="3"/>
        <v>1</v>
      </c>
      <c r="E12" s="10">
        <f t="shared" si="4"/>
        <v>815</v>
      </c>
      <c r="F12" s="8" t="s">
        <v>17</v>
      </c>
      <c r="G12" s="11">
        <v>46071</v>
      </c>
      <c r="H12" s="11">
        <v>46071</v>
      </c>
      <c r="I12" s="11">
        <v>46077</v>
      </c>
      <c r="J12" s="12" t="str">
        <f t="shared" si="5"/>
        <v>Дост. в срок</v>
      </c>
    </row>
    <row r="13" spans="1:10" ht="19.95" customHeight="1" x14ac:dyDescent="0.3">
      <c r="A13" s="8" t="s">
        <v>23</v>
      </c>
      <c r="B13" s="9">
        <v>105</v>
      </c>
      <c r="C13" s="8">
        <v>13</v>
      </c>
      <c r="D13" s="8">
        <f t="shared" si="3"/>
        <v>3</v>
      </c>
      <c r="E13" s="10">
        <f t="shared" si="4"/>
        <v>1365</v>
      </c>
      <c r="F13" s="8" t="s">
        <v>17</v>
      </c>
      <c r="G13" s="11">
        <v>46071</v>
      </c>
      <c r="H13" s="11">
        <v>46071</v>
      </c>
      <c r="I13" s="11">
        <v>46076</v>
      </c>
      <c r="J13" s="12" t="str">
        <f t="shared" si="5"/>
        <v>Дост. в срок</v>
      </c>
    </row>
    <row r="14" spans="1:10" ht="19.95" customHeight="1" x14ac:dyDescent="0.3">
      <c r="A14" s="8" t="s">
        <v>24</v>
      </c>
      <c r="B14" s="9">
        <v>120</v>
      </c>
      <c r="C14" s="8">
        <v>25</v>
      </c>
      <c r="D14" s="8">
        <f t="shared" si="3"/>
        <v>6</v>
      </c>
      <c r="E14" s="10">
        <f t="shared" si="4"/>
        <v>3000</v>
      </c>
      <c r="F14" s="8" t="s">
        <v>25</v>
      </c>
      <c r="G14" s="11">
        <v>46070</v>
      </c>
      <c r="H14" s="11">
        <v>46070</v>
      </c>
      <c r="I14" s="11">
        <v>46077</v>
      </c>
      <c r="J14" s="12" t="str">
        <f t="shared" si="5"/>
        <v>Дост. в срок</v>
      </c>
    </row>
    <row r="15" spans="1:10" ht="19.95" customHeight="1" x14ac:dyDescent="0.3">
      <c r="A15" s="8" t="s">
        <v>26</v>
      </c>
      <c r="B15" s="9">
        <v>150</v>
      </c>
      <c r="C15" s="8">
        <v>14</v>
      </c>
      <c r="D15" s="8">
        <f t="shared" si="3"/>
        <v>3</v>
      </c>
      <c r="E15" s="10">
        <f t="shared" si="4"/>
        <v>2100</v>
      </c>
      <c r="F15" s="8" t="s">
        <v>25</v>
      </c>
      <c r="G15" s="11">
        <v>46070</v>
      </c>
      <c r="H15" s="11">
        <v>46070</v>
      </c>
      <c r="I15" s="11">
        <v>46072</v>
      </c>
      <c r="J15" s="12" t="str">
        <f t="shared" si="5"/>
        <v>Дост. в срок</v>
      </c>
    </row>
    <row r="16" spans="1:10" ht="19.95" customHeight="1" x14ac:dyDescent="0.3">
      <c r="A16" s="8" t="s">
        <v>27</v>
      </c>
      <c r="B16" s="9">
        <v>150</v>
      </c>
      <c r="C16" s="8">
        <v>10</v>
      </c>
      <c r="D16" s="8">
        <f t="shared" si="3"/>
        <v>2</v>
      </c>
      <c r="E16" s="10">
        <f t="shared" si="4"/>
        <v>1500</v>
      </c>
      <c r="F16" s="8" t="s">
        <v>25</v>
      </c>
      <c r="G16" s="11">
        <v>46070</v>
      </c>
      <c r="H16" s="11">
        <v>46070</v>
      </c>
      <c r="I16" s="11">
        <v>46072</v>
      </c>
      <c r="J16" s="12" t="str">
        <f t="shared" si="5"/>
        <v>Дост. в срок</v>
      </c>
    </row>
    <row r="17" spans="1:10" ht="19.95" customHeight="1" x14ac:dyDescent="0.3">
      <c r="A17" s="8" t="s">
        <v>28</v>
      </c>
      <c r="B17" s="9">
        <v>102</v>
      </c>
      <c r="C17" s="8">
        <v>10</v>
      </c>
      <c r="D17" s="8">
        <f t="shared" si="3"/>
        <v>2</v>
      </c>
      <c r="E17" s="10">
        <f t="shared" si="4"/>
        <v>1020</v>
      </c>
      <c r="F17" s="8" t="s">
        <v>25</v>
      </c>
      <c r="G17" s="11">
        <v>46070</v>
      </c>
      <c r="H17" s="11">
        <v>46070</v>
      </c>
      <c r="I17" s="11">
        <v>46075</v>
      </c>
      <c r="J17" s="12" t="str">
        <f t="shared" si="5"/>
        <v>Дост. в срок</v>
      </c>
    </row>
    <row r="18" spans="1:10" ht="19.95" customHeight="1" x14ac:dyDescent="0.3">
      <c r="A18" s="8" t="s">
        <v>29</v>
      </c>
      <c r="B18" s="9">
        <v>76</v>
      </c>
      <c r="C18" s="8">
        <v>17</v>
      </c>
      <c r="D18" s="8">
        <f t="shared" si="3"/>
        <v>4</v>
      </c>
      <c r="E18" s="10">
        <f t="shared" si="4"/>
        <v>1292</v>
      </c>
      <c r="F18" s="8" t="s">
        <v>25</v>
      </c>
      <c r="G18" s="11">
        <v>46070</v>
      </c>
      <c r="H18" s="11">
        <v>46070</v>
      </c>
      <c r="I18" s="11">
        <v>46077</v>
      </c>
      <c r="J18" s="12" t="str">
        <f t="shared" si="5"/>
        <v>Дост. в срок</v>
      </c>
    </row>
    <row r="19" spans="1:10" ht="19.95" customHeight="1" x14ac:dyDescent="0.3">
      <c r="A19" s="8" t="s">
        <v>30</v>
      </c>
      <c r="B19" s="9">
        <v>56</v>
      </c>
      <c r="C19" s="8">
        <v>300</v>
      </c>
      <c r="D19" s="8">
        <f t="shared" si="3"/>
        <v>75</v>
      </c>
      <c r="E19" s="10">
        <f t="shared" si="4"/>
        <v>16800</v>
      </c>
      <c r="F19" s="8" t="s">
        <v>25</v>
      </c>
      <c r="G19" s="11">
        <v>46070</v>
      </c>
      <c r="H19" s="11">
        <v>46070</v>
      </c>
      <c r="I19" s="11">
        <v>46077</v>
      </c>
      <c r="J19" s="12" t="str">
        <f t="shared" si="5"/>
        <v>Дост. в срок</v>
      </c>
    </row>
    <row r="20" spans="1:10" ht="19.95" customHeight="1" x14ac:dyDescent="0.3">
      <c r="A20" s="8" t="s">
        <v>31</v>
      </c>
      <c r="B20" s="9">
        <v>70</v>
      </c>
      <c r="C20" s="8">
        <v>25</v>
      </c>
      <c r="D20" s="8">
        <f t="shared" si="3"/>
        <v>6</v>
      </c>
      <c r="E20" s="10">
        <f t="shared" si="4"/>
        <v>1750</v>
      </c>
      <c r="F20" s="8" t="s">
        <v>25</v>
      </c>
      <c r="G20" s="11">
        <v>46070</v>
      </c>
      <c r="H20" s="11">
        <v>46070</v>
      </c>
      <c r="I20" s="11">
        <v>46076</v>
      </c>
      <c r="J20" s="12" t="str">
        <f t="shared" si="5"/>
        <v>Дост. в срок</v>
      </c>
    </row>
    <row r="21" spans="1:10" ht="19.95" customHeight="1" x14ac:dyDescent="0.3">
      <c r="A21" s="8" t="s">
        <v>32</v>
      </c>
      <c r="B21" s="9">
        <v>80</v>
      </c>
      <c r="C21" s="8">
        <v>40</v>
      </c>
      <c r="D21" s="8">
        <f t="shared" si="3"/>
        <v>10</v>
      </c>
      <c r="E21" s="10">
        <f t="shared" si="4"/>
        <v>3200</v>
      </c>
      <c r="F21" s="8" t="s">
        <v>25</v>
      </c>
      <c r="G21" s="11">
        <v>46070</v>
      </c>
      <c r="H21" s="11">
        <v>46070</v>
      </c>
      <c r="I21" s="11">
        <v>46075</v>
      </c>
      <c r="J21" s="12" t="str">
        <f t="shared" si="5"/>
        <v>Дост. в срок</v>
      </c>
    </row>
    <row r="22" spans="1:10" ht="19.95" customHeight="1" x14ac:dyDescent="0.3">
      <c r="A22" s="8" t="s">
        <v>33</v>
      </c>
      <c r="B22" s="10">
        <v>80</v>
      </c>
      <c r="C22" s="8">
        <v>130</v>
      </c>
      <c r="D22" s="8">
        <f t="shared" si="3"/>
        <v>32</v>
      </c>
      <c r="E22" s="10">
        <f t="shared" si="4"/>
        <v>10400</v>
      </c>
      <c r="F22" s="8" t="s">
        <v>25</v>
      </c>
      <c r="G22" s="11">
        <v>46070</v>
      </c>
      <c r="H22" s="11">
        <v>46070</v>
      </c>
      <c r="I22" s="11">
        <v>46072</v>
      </c>
      <c r="J22" s="12" t="str">
        <f t="shared" si="5"/>
        <v>Дост. в срок</v>
      </c>
    </row>
    <row r="23" spans="1:10" ht="19.95" customHeight="1" x14ac:dyDescent="0.3">
      <c r="A23" s="8" t="s">
        <v>34</v>
      </c>
      <c r="B23" s="10">
        <v>125</v>
      </c>
      <c r="C23" s="8">
        <v>19</v>
      </c>
      <c r="D23" s="8">
        <f t="shared" si="3"/>
        <v>4</v>
      </c>
      <c r="E23" s="10">
        <f t="shared" si="4"/>
        <v>2375</v>
      </c>
      <c r="F23" s="8" t="s">
        <v>25</v>
      </c>
      <c r="G23" s="13">
        <v>46070</v>
      </c>
      <c r="H23" s="11">
        <v>46070</v>
      </c>
      <c r="I23" s="11">
        <v>46076</v>
      </c>
      <c r="J23" s="12" t="str">
        <f t="shared" si="5"/>
        <v>Дост. в срок</v>
      </c>
    </row>
    <row r="24" spans="1:10" ht="19.95" customHeight="1" x14ac:dyDescent="0.3">
      <c r="A24" s="8" t="s">
        <v>35</v>
      </c>
      <c r="B24" s="10">
        <v>96</v>
      </c>
      <c r="C24" s="8">
        <v>20</v>
      </c>
      <c r="D24" s="8">
        <f t="shared" si="3"/>
        <v>5</v>
      </c>
      <c r="E24" s="10">
        <f t="shared" si="4"/>
        <v>1920</v>
      </c>
      <c r="F24" s="8" t="s">
        <v>25</v>
      </c>
      <c r="G24" s="13">
        <v>46070</v>
      </c>
      <c r="H24" s="11">
        <v>46070</v>
      </c>
      <c r="I24" s="11">
        <v>46076</v>
      </c>
      <c r="J24" s="12" t="str">
        <f t="shared" si="5"/>
        <v>Дост. в срок</v>
      </c>
    </row>
    <row r="25" spans="1:10" ht="19.95" customHeight="1" x14ac:dyDescent="0.3">
      <c r="A25" s="8" t="s">
        <v>36</v>
      </c>
      <c r="B25" s="10">
        <v>88</v>
      </c>
      <c r="C25" s="8">
        <v>150</v>
      </c>
      <c r="D25" s="8">
        <f t="shared" si="3"/>
        <v>37</v>
      </c>
      <c r="E25" s="10">
        <f t="shared" si="4"/>
        <v>13200</v>
      </c>
      <c r="F25" s="8" t="s">
        <v>25</v>
      </c>
      <c r="G25" s="13">
        <v>46070</v>
      </c>
      <c r="H25" s="11">
        <v>46070</v>
      </c>
      <c r="I25" s="11">
        <v>46072</v>
      </c>
      <c r="J25" s="12" t="str">
        <f t="shared" si="5"/>
        <v>Дост. в срок</v>
      </c>
    </row>
    <row r="26" spans="1:10" ht="19.95" customHeight="1" x14ac:dyDescent="0.3">
      <c r="A26" s="8" t="s">
        <v>37</v>
      </c>
      <c r="B26" s="10">
        <v>95</v>
      </c>
      <c r="C26" s="8">
        <v>16</v>
      </c>
      <c r="D26" s="8">
        <f t="shared" si="3"/>
        <v>4</v>
      </c>
      <c r="E26" s="10">
        <f t="shared" si="4"/>
        <v>1520</v>
      </c>
      <c r="F26" s="8" t="s">
        <v>25</v>
      </c>
      <c r="G26" s="13">
        <v>46070</v>
      </c>
      <c r="H26" s="11">
        <v>46070</v>
      </c>
      <c r="I26" s="11">
        <v>46076</v>
      </c>
      <c r="J26" s="12" t="str">
        <f t="shared" si="5"/>
        <v>Дост. в срок</v>
      </c>
    </row>
    <row r="27" spans="1:10" ht="19.95" customHeight="1" x14ac:dyDescent="0.3">
      <c r="A27" s="8" t="s">
        <v>38</v>
      </c>
      <c r="B27" s="10">
        <v>90</v>
      </c>
      <c r="C27" s="8">
        <v>18</v>
      </c>
      <c r="D27" s="8">
        <f t="shared" si="3"/>
        <v>4</v>
      </c>
      <c r="E27" s="10">
        <f t="shared" si="4"/>
        <v>1620</v>
      </c>
      <c r="F27" s="8" t="s">
        <v>25</v>
      </c>
      <c r="G27" s="13">
        <v>46070</v>
      </c>
      <c r="H27" s="11">
        <v>46070</v>
      </c>
      <c r="I27" s="11">
        <v>46076</v>
      </c>
      <c r="J27" s="12" t="str">
        <f t="shared" si="5"/>
        <v>Дост. в срок</v>
      </c>
    </row>
    <row r="28" spans="1:10" ht="19.95" customHeight="1" x14ac:dyDescent="0.3">
      <c r="A28" s="8" t="s">
        <v>39</v>
      </c>
      <c r="B28" s="10">
        <v>82</v>
      </c>
      <c r="C28" s="8">
        <v>19</v>
      </c>
      <c r="D28" s="8">
        <f t="shared" si="3"/>
        <v>4</v>
      </c>
      <c r="E28" s="10">
        <f t="shared" si="4"/>
        <v>1558</v>
      </c>
      <c r="F28" s="8" t="s">
        <v>25</v>
      </c>
      <c r="G28" s="13">
        <v>46070</v>
      </c>
      <c r="H28" s="11">
        <v>46070</v>
      </c>
      <c r="I28" s="11">
        <v>46076</v>
      </c>
      <c r="J28" s="12" t="str">
        <f t="shared" si="5"/>
        <v>Дост. в срок</v>
      </c>
    </row>
    <row r="29" spans="1:10" ht="19.95" customHeight="1" x14ac:dyDescent="0.3">
      <c r="A29" s="8" t="s">
        <v>40</v>
      </c>
      <c r="B29" s="10">
        <v>78</v>
      </c>
      <c r="C29" s="8">
        <v>54</v>
      </c>
      <c r="D29" s="8">
        <f t="shared" si="3"/>
        <v>13</v>
      </c>
      <c r="E29" s="10">
        <f t="shared" si="4"/>
        <v>4212</v>
      </c>
      <c r="F29" s="8" t="s">
        <v>25</v>
      </c>
      <c r="G29" s="13">
        <v>46070</v>
      </c>
      <c r="H29" s="11">
        <v>46070</v>
      </c>
      <c r="I29" s="11">
        <v>46076</v>
      </c>
      <c r="J29" s="12" t="str">
        <f t="shared" si="5"/>
        <v>Дост. в срок</v>
      </c>
    </row>
    <row r="30" spans="1:10" ht="19.95" customHeight="1" x14ac:dyDescent="0.3">
      <c r="A30" s="8" t="s">
        <v>41</v>
      </c>
      <c r="B30" s="10">
        <v>67</v>
      </c>
      <c r="C30" s="8">
        <v>75</v>
      </c>
      <c r="D30" s="8">
        <f t="shared" si="3"/>
        <v>18</v>
      </c>
      <c r="E30" s="10">
        <f t="shared" si="4"/>
        <v>5025</v>
      </c>
      <c r="F30" s="8" t="s">
        <v>25</v>
      </c>
      <c r="G30" s="13">
        <v>46070</v>
      </c>
      <c r="H30" s="11">
        <v>46070</v>
      </c>
      <c r="I30" s="11">
        <v>46076</v>
      </c>
      <c r="J30" s="12" t="str">
        <f t="shared" si="5"/>
        <v>Дост. в срок</v>
      </c>
    </row>
    <row r="31" spans="1:10" ht="19.95" customHeight="1" x14ac:dyDescent="0.3">
      <c r="A31" s="14" t="s">
        <v>42</v>
      </c>
      <c r="B31" s="15">
        <v>42</v>
      </c>
      <c r="C31" s="14">
        <v>30</v>
      </c>
      <c r="D31" s="14">
        <f t="shared" si="3"/>
        <v>7</v>
      </c>
      <c r="E31" s="16">
        <f t="shared" si="4"/>
        <v>1260</v>
      </c>
      <c r="F31" s="14" t="s">
        <v>25</v>
      </c>
      <c r="G31" s="17">
        <v>46070</v>
      </c>
      <c r="H31" s="18">
        <v>46070</v>
      </c>
      <c r="I31" s="18">
        <v>46077</v>
      </c>
      <c r="J31" s="19" t="str">
        <f t="shared" si="5"/>
        <v>Дост. в срок</v>
      </c>
    </row>
  </sheetData>
  <conditionalFormatting sqref="J2:J31">
    <cfRule type="containsText" dxfId="9" priority="1" operator="containsText" text="Просрочена">
      <formula>NOT(ISERROR(SEARCH("Просрочена",K2)))</formula>
    </cfRule>
    <cfRule type="containsText" dxfId="8" priority="2" operator="containsText" text="Дост">
      <formula>NOT(ISERROR(SEARCH("Дост",K2)))</formula>
    </cfRule>
    <cfRule type="containsText" dxfId="7" priority="3" operator="containsText" text="Проср">
      <formula>NOT(ISERROR(SEARCH("Проср",K2)))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A27" zoomScale="81" workbookViewId="0">
      <selection activeCell="E31" sqref="E31"/>
    </sheetView>
  </sheetViews>
  <sheetFormatPr defaultRowHeight="14.4" x14ac:dyDescent="0.3"/>
  <cols>
    <col min="1" max="2" width="18.77734375" customWidth="1"/>
    <col min="3" max="3" width="19.109375" bestFit="1" customWidth="1"/>
    <col min="4" max="7" width="18.77734375" customWidth="1"/>
    <col min="8" max="8" width="22.88671875" bestFit="1" customWidth="1"/>
    <col min="9" max="9" width="18.77734375" customWidth="1"/>
    <col min="10" max="10" width="17.77734375" customWidth="1"/>
  </cols>
  <sheetData>
    <row r="1" spans="1:10" ht="19.95" customHeigh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  <c r="J1" s="21" t="s">
        <v>9</v>
      </c>
    </row>
    <row r="2" spans="1:10" ht="19.95" customHeight="1" x14ac:dyDescent="0.3">
      <c r="A2" s="3" t="s">
        <v>10</v>
      </c>
      <c r="B2" s="4">
        <v>170</v>
      </c>
      <c r="C2" s="3">
        <v>20</v>
      </c>
      <c r="D2" s="3">
        <f t="shared" ref="D2:D31" si="0">INT(0.25*C2)</f>
        <v>5</v>
      </c>
      <c r="E2" s="4">
        <f t="shared" ref="E2:E31" si="1">B2*C2</f>
        <v>3400</v>
      </c>
      <c r="F2" s="3" t="s">
        <v>11</v>
      </c>
      <c r="G2" s="6">
        <v>46073</v>
      </c>
      <c r="H2" s="6">
        <v>46072</v>
      </c>
      <c r="I2" s="5">
        <v>46072</v>
      </c>
      <c r="J2" s="7" t="str">
        <f t="shared" ref="J2:J31" si="2">IF(G2=H2,"Дост. в срок","Просрочена")</f>
        <v>Просрочена</v>
      </c>
    </row>
    <row r="3" spans="1:10" ht="19.95" customHeight="1" x14ac:dyDescent="0.3">
      <c r="A3" s="8" t="s">
        <v>16</v>
      </c>
      <c r="B3" s="9">
        <v>270</v>
      </c>
      <c r="C3" s="8">
        <v>15</v>
      </c>
      <c r="D3" s="8">
        <f t="shared" si="0"/>
        <v>3</v>
      </c>
      <c r="E3" s="10">
        <f t="shared" si="1"/>
        <v>4050</v>
      </c>
      <c r="F3" s="8" t="s">
        <v>17</v>
      </c>
      <c r="G3" s="11">
        <v>46071</v>
      </c>
      <c r="H3" s="11">
        <v>46071</v>
      </c>
      <c r="I3" s="11">
        <v>46076</v>
      </c>
      <c r="J3" s="12" t="str">
        <f t="shared" si="2"/>
        <v>Дост. в срок</v>
      </c>
    </row>
    <row r="4" spans="1:10" ht="19.95" customHeight="1" x14ac:dyDescent="0.3">
      <c r="A4" s="8" t="s">
        <v>24</v>
      </c>
      <c r="B4" s="9">
        <v>110</v>
      </c>
      <c r="C4" s="8">
        <v>18</v>
      </c>
      <c r="D4" s="8">
        <f t="shared" si="0"/>
        <v>4</v>
      </c>
      <c r="E4" s="10">
        <f t="shared" si="1"/>
        <v>1980</v>
      </c>
      <c r="F4" s="8" t="s">
        <v>25</v>
      </c>
      <c r="G4" s="11">
        <v>46070</v>
      </c>
      <c r="H4" s="11">
        <v>46070</v>
      </c>
      <c r="I4" s="11">
        <v>46075</v>
      </c>
      <c r="J4" s="12" t="str">
        <f t="shared" si="2"/>
        <v>Дост. в срок</v>
      </c>
    </row>
    <row r="5" spans="1:10" ht="19.95" customHeight="1" x14ac:dyDescent="0.3">
      <c r="A5" s="8" t="s">
        <v>18</v>
      </c>
      <c r="B5" s="9">
        <v>150</v>
      </c>
      <c r="C5" s="8">
        <v>24</v>
      </c>
      <c r="D5" s="8">
        <f t="shared" si="0"/>
        <v>6</v>
      </c>
      <c r="E5" s="10">
        <f t="shared" si="1"/>
        <v>3600</v>
      </c>
      <c r="F5" s="8" t="s">
        <v>17</v>
      </c>
      <c r="G5" s="11">
        <v>46071</v>
      </c>
      <c r="H5" s="11">
        <v>46071</v>
      </c>
      <c r="I5" s="11">
        <v>46072</v>
      </c>
      <c r="J5" s="12" t="str">
        <f t="shared" si="2"/>
        <v>Дост. в срок</v>
      </c>
    </row>
    <row r="6" spans="1:10" ht="19.95" customHeight="1" x14ac:dyDescent="0.3">
      <c r="A6" s="8" t="s">
        <v>26</v>
      </c>
      <c r="B6" s="9">
        <v>170</v>
      </c>
      <c r="C6" s="8">
        <v>10</v>
      </c>
      <c r="D6" s="8">
        <f t="shared" si="0"/>
        <v>2</v>
      </c>
      <c r="E6" s="10">
        <f t="shared" si="1"/>
        <v>1700</v>
      </c>
      <c r="F6" s="8" t="s">
        <v>25</v>
      </c>
      <c r="G6" s="11">
        <v>46070</v>
      </c>
      <c r="H6" s="11">
        <v>46070</v>
      </c>
      <c r="I6" s="11">
        <v>46072</v>
      </c>
      <c r="J6" s="12" t="str">
        <f t="shared" si="2"/>
        <v>Дост. в срок</v>
      </c>
    </row>
    <row r="7" spans="1:10" ht="19.95" customHeight="1" x14ac:dyDescent="0.3">
      <c r="A7" s="8" t="s">
        <v>27</v>
      </c>
      <c r="B7" s="9">
        <v>113</v>
      </c>
      <c r="C7" s="8">
        <v>16</v>
      </c>
      <c r="D7" s="8">
        <f t="shared" si="0"/>
        <v>4</v>
      </c>
      <c r="E7" s="10">
        <f t="shared" si="1"/>
        <v>1808</v>
      </c>
      <c r="F7" s="8" t="s">
        <v>25</v>
      </c>
      <c r="G7" s="11">
        <v>46070</v>
      </c>
      <c r="H7" s="11">
        <v>46070</v>
      </c>
      <c r="I7" s="11">
        <v>46072</v>
      </c>
      <c r="J7" s="12" t="str">
        <f t="shared" si="2"/>
        <v>Дост. в срок</v>
      </c>
    </row>
    <row r="8" spans="1:10" ht="19.95" customHeight="1" x14ac:dyDescent="0.3">
      <c r="A8" s="8" t="s">
        <v>28</v>
      </c>
      <c r="B8" s="9">
        <v>120</v>
      </c>
      <c r="C8" s="8">
        <v>15</v>
      </c>
      <c r="D8" s="8">
        <f t="shared" si="0"/>
        <v>3</v>
      </c>
      <c r="E8" s="10">
        <f t="shared" si="1"/>
        <v>1800</v>
      </c>
      <c r="F8" s="8" t="s">
        <v>25</v>
      </c>
      <c r="G8" s="11">
        <v>46070</v>
      </c>
      <c r="H8" s="11">
        <v>46070</v>
      </c>
      <c r="I8" s="11">
        <v>46075</v>
      </c>
      <c r="J8" s="12" t="str">
        <f t="shared" si="2"/>
        <v>Дост. в срок</v>
      </c>
    </row>
    <row r="9" spans="1:10" ht="19.95" customHeight="1" x14ac:dyDescent="0.3">
      <c r="A9" s="8" t="s">
        <v>12</v>
      </c>
      <c r="B9" s="9">
        <v>150</v>
      </c>
      <c r="C9" s="8">
        <v>20</v>
      </c>
      <c r="D9" s="8">
        <f t="shared" si="0"/>
        <v>5</v>
      </c>
      <c r="E9" s="10">
        <f t="shared" si="1"/>
        <v>3000</v>
      </c>
      <c r="F9" s="8" t="s">
        <v>11</v>
      </c>
      <c r="G9" s="11">
        <v>46073</v>
      </c>
      <c r="H9" s="11">
        <v>46072</v>
      </c>
      <c r="I9" s="11">
        <v>46075</v>
      </c>
      <c r="J9" s="12" t="str">
        <f t="shared" si="2"/>
        <v>Просрочена</v>
      </c>
    </row>
    <row r="10" spans="1:10" ht="19.95" customHeight="1" x14ac:dyDescent="0.3">
      <c r="A10" s="8" t="s">
        <v>19</v>
      </c>
      <c r="B10" s="9">
        <v>130</v>
      </c>
      <c r="C10" s="8">
        <v>10</v>
      </c>
      <c r="D10" s="8">
        <f t="shared" si="0"/>
        <v>2</v>
      </c>
      <c r="E10" s="10">
        <f t="shared" si="1"/>
        <v>1300</v>
      </c>
      <c r="F10" s="8" t="s">
        <v>17</v>
      </c>
      <c r="G10" s="11">
        <v>46071</v>
      </c>
      <c r="H10" s="11">
        <v>46071</v>
      </c>
      <c r="I10" s="11">
        <v>46072</v>
      </c>
      <c r="J10" s="12" t="str">
        <f t="shared" si="2"/>
        <v>Дост. в срок</v>
      </c>
    </row>
    <row r="11" spans="1:10" ht="19.95" customHeight="1" x14ac:dyDescent="0.3">
      <c r="A11" s="8" t="s">
        <v>29</v>
      </c>
      <c r="B11" s="9">
        <v>90</v>
      </c>
      <c r="C11" s="8">
        <v>18</v>
      </c>
      <c r="D11" s="8">
        <f t="shared" si="0"/>
        <v>4</v>
      </c>
      <c r="E11" s="10">
        <f t="shared" si="1"/>
        <v>1620</v>
      </c>
      <c r="F11" s="8" t="s">
        <v>25</v>
      </c>
      <c r="G11" s="11">
        <v>46070</v>
      </c>
      <c r="H11" s="11">
        <v>46070</v>
      </c>
      <c r="I11" s="11">
        <v>46076</v>
      </c>
      <c r="J11" s="12" t="str">
        <f t="shared" si="2"/>
        <v>Дост. в срок</v>
      </c>
    </row>
    <row r="12" spans="1:10" ht="19.95" customHeight="1" x14ac:dyDescent="0.3">
      <c r="A12" s="8" t="s">
        <v>30</v>
      </c>
      <c r="B12" s="9">
        <v>60</v>
      </c>
      <c r="C12" s="8">
        <v>200</v>
      </c>
      <c r="D12" s="8">
        <f t="shared" si="0"/>
        <v>50</v>
      </c>
      <c r="E12" s="10">
        <f t="shared" si="1"/>
        <v>12000</v>
      </c>
      <c r="F12" s="8" t="s">
        <v>25</v>
      </c>
      <c r="G12" s="11">
        <v>46070</v>
      </c>
      <c r="H12" s="11">
        <v>46070</v>
      </c>
      <c r="I12" s="11">
        <v>46076</v>
      </c>
      <c r="J12" s="12" t="str">
        <f t="shared" si="2"/>
        <v>Дост. в срок</v>
      </c>
    </row>
    <row r="13" spans="1:10" ht="19.95" customHeight="1" x14ac:dyDescent="0.3">
      <c r="A13" s="8" t="s">
        <v>20</v>
      </c>
      <c r="B13" s="9">
        <v>190</v>
      </c>
      <c r="C13" s="8">
        <v>19</v>
      </c>
      <c r="D13" s="8">
        <f t="shared" si="0"/>
        <v>4</v>
      </c>
      <c r="E13" s="10">
        <f t="shared" si="1"/>
        <v>3610</v>
      </c>
      <c r="F13" s="8" t="s">
        <v>17</v>
      </c>
      <c r="G13" s="11">
        <v>46071</v>
      </c>
      <c r="H13" s="11">
        <v>46071</v>
      </c>
      <c r="I13" s="11">
        <v>46072</v>
      </c>
      <c r="J13" s="12" t="str">
        <f t="shared" si="2"/>
        <v>Дост. в срок</v>
      </c>
    </row>
    <row r="14" spans="1:10" ht="19.95" customHeight="1" x14ac:dyDescent="0.3">
      <c r="A14" s="8" t="s">
        <v>31</v>
      </c>
      <c r="B14" s="9">
        <v>76</v>
      </c>
      <c r="C14" s="8">
        <v>15</v>
      </c>
      <c r="D14" s="8">
        <f t="shared" si="0"/>
        <v>3</v>
      </c>
      <c r="E14" s="10">
        <f t="shared" si="1"/>
        <v>1140</v>
      </c>
      <c r="F14" s="8" t="s">
        <v>25</v>
      </c>
      <c r="G14" s="11">
        <v>46070</v>
      </c>
      <c r="H14" s="11">
        <v>46070</v>
      </c>
      <c r="I14" s="11">
        <v>46076</v>
      </c>
      <c r="J14" s="12" t="str">
        <f t="shared" si="2"/>
        <v>Дост. в срок</v>
      </c>
    </row>
    <row r="15" spans="1:10" ht="19.95" customHeight="1" x14ac:dyDescent="0.3">
      <c r="A15" s="8" t="s">
        <v>32</v>
      </c>
      <c r="B15" s="9">
        <v>95</v>
      </c>
      <c r="C15" s="8">
        <v>45</v>
      </c>
      <c r="D15" s="8">
        <f t="shared" si="0"/>
        <v>11</v>
      </c>
      <c r="E15" s="10">
        <f t="shared" si="1"/>
        <v>4275</v>
      </c>
      <c r="F15" s="8" t="s">
        <v>25</v>
      </c>
      <c r="G15" s="11">
        <v>46070</v>
      </c>
      <c r="H15" s="11">
        <v>46070</v>
      </c>
      <c r="I15" s="11">
        <v>46075</v>
      </c>
      <c r="J15" s="12" t="str">
        <f t="shared" si="2"/>
        <v>Дост. в срок</v>
      </c>
    </row>
    <row r="16" spans="1:10" ht="19.95" customHeight="1" x14ac:dyDescent="0.3">
      <c r="A16" s="8" t="s">
        <v>33</v>
      </c>
      <c r="B16" s="9">
        <v>85</v>
      </c>
      <c r="C16" s="8">
        <v>100</v>
      </c>
      <c r="D16" s="8">
        <f t="shared" si="0"/>
        <v>25</v>
      </c>
      <c r="E16" s="10">
        <f t="shared" si="1"/>
        <v>8500</v>
      </c>
      <c r="F16" s="8" t="s">
        <v>25</v>
      </c>
      <c r="G16" s="11">
        <v>46070</v>
      </c>
      <c r="H16" s="11">
        <v>46070</v>
      </c>
      <c r="I16" s="11">
        <v>46072</v>
      </c>
      <c r="J16" s="12" t="str">
        <f t="shared" si="2"/>
        <v>Дост. в срок</v>
      </c>
    </row>
    <row r="17" spans="1:10" ht="19.95" customHeight="1" x14ac:dyDescent="0.3">
      <c r="A17" s="8" t="s">
        <v>34</v>
      </c>
      <c r="B17" s="9">
        <v>125</v>
      </c>
      <c r="C17" s="8">
        <v>19</v>
      </c>
      <c r="D17" s="8">
        <f t="shared" si="0"/>
        <v>4</v>
      </c>
      <c r="E17" s="10">
        <f t="shared" si="1"/>
        <v>2375</v>
      </c>
      <c r="F17" s="8" t="s">
        <v>25</v>
      </c>
      <c r="G17" s="11">
        <v>46070</v>
      </c>
      <c r="H17" s="11">
        <v>46070</v>
      </c>
      <c r="I17" s="11">
        <v>46076</v>
      </c>
      <c r="J17" s="12" t="str">
        <f t="shared" si="2"/>
        <v>Дост. в срок</v>
      </c>
    </row>
    <row r="18" spans="1:10" ht="19.95" customHeight="1" x14ac:dyDescent="0.3">
      <c r="A18" s="8" t="s">
        <v>35</v>
      </c>
      <c r="B18" s="9">
        <v>96</v>
      </c>
      <c r="C18" s="8">
        <v>14</v>
      </c>
      <c r="D18" s="8">
        <f t="shared" si="0"/>
        <v>3</v>
      </c>
      <c r="E18" s="10">
        <f t="shared" si="1"/>
        <v>1344</v>
      </c>
      <c r="F18" s="8" t="s">
        <v>25</v>
      </c>
      <c r="G18" s="11">
        <v>46070</v>
      </c>
      <c r="H18" s="11">
        <v>46070</v>
      </c>
      <c r="I18" s="11">
        <v>46076</v>
      </c>
      <c r="J18" s="12" t="str">
        <f t="shared" si="2"/>
        <v>Дост. в срок</v>
      </c>
    </row>
    <row r="19" spans="1:10" ht="19.95" customHeight="1" x14ac:dyDescent="0.3">
      <c r="A19" s="8" t="s">
        <v>13</v>
      </c>
      <c r="B19" s="9">
        <v>120</v>
      </c>
      <c r="C19" s="8">
        <v>19</v>
      </c>
      <c r="D19" s="8">
        <f t="shared" si="0"/>
        <v>4</v>
      </c>
      <c r="E19" s="10">
        <f t="shared" si="1"/>
        <v>2280</v>
      </c>
      <c r="F19" s="8" t="s">
        <v>11</v>
      </c>
      <c r="G19" s="11">
        <v>46073</v>
      </c>
      <c r="H19" s="11">
        <v>46072</v>
      </c>
      <c r="I19" s="11">
        <v>46072</v>
      </c>
      <c r="J19" s="12" t="str">
        <f t="shared" si="2"/>
        <v>Просрочена</v>
      </c>
    </row>
    <row r="20" spans="1:10" ht="19.95" customHeight="1" x14ac:dyDescent="0.3">
      <c r="A20" s="8" t="s">
        <v>36</v>
      </c>
      <c r="B20" s="9">
        <v>90</v>
      </c>
      <c r="C20" s="8">
        <v>50</v>
      </c>
      <c r="D20" s="8">
        <f t="shared" si="0"/>
        <v>12</v>
      </c>
      <c r="E20" s="10">
        <f t="shared" si="1"/>
        <v>4500</v>
      </c>
      <c r="F20" s="8" t="s">
        <v>25</v>
      </c>
      <c r="G20" s="11">
        <v>46070</v>
      </c>
      <c r="H20" s="11">
        <v>46070</v>
      </c>
      <c r="I20" s="11">
        <v>46072</v>
      </c>
      <c r="J20" s="12" t="str">
        <f t="shared" si="2"/>
        <v>Дост. в срок</v>
      </c>
    </row>
    <row r="21" spans="1:10" ht="19.95" customHeight="1" x14ac:dyDescent="0.3">
      <c r="A21" s="8" t="s">
        <v>37</v>
      </c>
      <c r="B21" s="9">
        <v>120</v>
      </c>
      <c r="C21" s="8">
        <v>16</v>
      </c>
      <c r="D21" s="8">
        <f t="shared" si="0"/>
        <v>4</v>
      </c>
      <c r="E21" s="10">
        <f t="shared" si="1"/>
        <v>1920</v>
      </c>
      <c r="F21" s="8" t="s">
        <v>25</v>
      </c>
      <c r="G21" s="11">
        <v>46070</v>
      </c>
      <c r="H21" s="11">
        <v>46070</v>
      </c>
      <c r="I21" s="11">
        <v>46076</v>
      </c>
      <c r="J21" s="12" t="str">
        <f t="shared" si="2"/>
        <v>Дост. в срок</v>
      </c>
    </row>
    <row r="22" spans="1:10" ht="19.95" customHeight="1" x14ac:dyDescent="0.3">
      <c r="A22" s="8" t="s">
        <v>38</v>
      </c>
      <c r="B22" s="10">
        <v>90</v>
      </c>
      <c r="C22" s="8">
        <v>12</v>
      </c>
      <c r="D22" s="8">
        <f t="shared" si="0"/>
        <v>3</v>
      </c>
      <c r="E22" s="10">
        <f t="shared" si="1"/>
        <v>1080</v>
      </c>
      <c r="F22" s="8" t="s">
        <v>25</v>
      </c>
      <c r="G22" s="11">
        <v>46070</v>
      </c>
      <c r="H22" s="11">
        <v>46070</v>
      </c>
      <c r="I22" s="11">
        <v>46076</v>
      </c>
      <c r="J22" s="12" t="str">
        <f t="shared" si="2"/>
        <v>Дост. в срок</v>
      </c>
    </row>
    <row r="23" spans="1:10" ht="19.95" customHeight="1" x14ac:dyDescent="0.3">
      <c r="A23" s="8" t="s">
        <v>39</v>
      </c>
      <c r="B23" s="10">
        <v>90</v>
      </c>
      <c r="C23" s="8">
        <v>19</v>
      </c>
      <c r="D23" s="8">
        <f t="shared" si="0"/>
        <v>4</v>
      </c>
      <c r="E23" s="10">
        <f t="shared" si="1"/>
        <v>1710</v>
      </c>
      <c r="F23" s="8" t="s">
        <v>25</v>
      </c>
      <c r="G23" s="11">
        <v>46070</v>
      </c>
      <c r="H23" s="11">
        <v>46070</v>
      </c>
      <c r="I23" s="11">
        <v>46076</v>
      </c>
      <c r="J23" s="12" t="str">
        <f t="shared" si="2"/>
        <v>Дост. в срок</v>
      </c>
    </row>
    <row r="24" spans="1:10" ht="19.95" customHeight="1" x14ac:dyDescent="0.3">
      <c r="A24" s="8" t="s">
        <v>40</v>
      </c>
      <c r="B24" s="10">
        <v>88</v>
      </c>
      <c r="C24" s="8">
        <v>54</v>
      </c>
      <c r="D24" s="8">
        <f t="shared" si="0"/>
        <v>13</v>
      </c>
      <c r="E24" s="10">
        <f t="shared" si="1"/>
        <v>4752</v>
      </c>
      <c r="F24" s="8" t="s">
        <v>25</v>
      </c>
      <c r="G24" s="11">
        <v>46070</v>
      </c>
      <c r="H24" s="11">
        <v>46070</v>
      </c>
      <c r="I24" s="11">
        <v>46076</v>
      </c>
      <c r="J24" s="12" t="str">
        <f t="shared" si="2"/>
        <v>Дост. в срок</v>
      </c>
    </row>
    <row r="25" spans="1:10" ht="19.95" customHeight="1" x14ac:dyDescent="0.3">
      <c r="A25" s="8" t="s">
        <v>21</v>
      </c>
      <c r="B25" s="10">
        <v>120</v>
      </c>
      <c r="C25" s="8">
        <v>2</v>
      </c>
      <c r="D25" s="8">
        <f t="shared" si="0"/>
        <v>0</v>
      </c>
      <c r="E25" s="10">
        <f t="shared" si="1"/>
        <v>240</v>
      </c>
      <c r="F25" s="8" t="s">
        <v>17</v>
      </c>
      <c r="G25" s="11">
        <v>46071</v>
      </c>
      <c r="H25" s="11">
        <v>46071</v>
      </c>
      <c r="I25" s="11">
        <v>46075</v>
      </c>
      <c r="J25" s="12" t="str">
        <f t="shared" si="2"/>
        <v>Дост. в срок</v>
      </c>
    </row>
    <row r="26" spans="1:10" ht="19.95" customHeight="1" x14ac:dyDescent="0.3">
      <c r="A26" s="8" t="s">
        <v>22</v>
      </c>
      <c r="B26" s="10">
        <v>163</v>
      </c>
      <c r="C26" s="8">
        <v>11</v>
      </c>
      <c r="D26" s="8">
        <f t="shared" si="0"/>
        <v>2</v>
      </c>
      <c r="E26" s="10">
        <f t="shared" si="1"/>
        <v>1793</v>
      </c>
      <c r="F26" s="8" t="s">
        <v>17</v>
      </c>
      <c r="G26" s="11">
        <v>46071</v>
      </c>
      <c r="H26" s="11">
        <v>46071</v>
      </c>
      <c r="I26" s="11">
        <v>46075</v>
      </c>
      <c r="J26" s="12" t="str">
        <f t="shared" si="2"/>
        <v>Дост. в срок</v>
      </c>
    </row>
    <row r="27" spans="1:10" ht="19.95" customHeight="1" x14ac:dyDescent="0.3">
      <c r="A27" s="8" t="s">
        <v>23</v>
      </c>
      <c r="B27" s="10">
        <v>105</v>
      </c>
      <c r="C27" s="8">
        <v>13</v>
      </c>
      <c r="D27" s="8">
        <f t="shared" si="0"/>
        <v>3</v>
      </c>
      <c r="E27" s="10">
        <f t="shared" si="1"/>
        <v>1365</v>
      </c>
      <c r="F27" s="8" t="s">
        <v>17</v>
      </c>
      <c r="G27" s="11">
        <v>46071</v>
      </c>
      <c r="H27" s="11">
        <v>46071</v>
      </c>
      <c r="I27" s="11">
        <v>46076</v>
      </c>
      <c r="J27" s="12" t="str">
        <f t="shared" si="2"/>
        <v>Дост. в срок</v>
      </c>
    </row>
    <row r="28" spans="1:10" ht="19.95" customHeight="1" x14ac:dyDescent="0.3">
      <c r="A28" s="8" t="s">
        <v>41</v>
      </c>
      <c r="B28" s="10">
        <v>70</v>
      </c>
      <c r="C28" s="8">
        <v>40</v>
      </c>
      <c r="D28" s="8">
        <f t="shared" si="0"/>
        <v>10</v>
      </c>
      <c r="E28" s="10">
        <f t="shared" si="1"/>
        <v>2800</v>
      </c>
      <c r="F28" s="8" t="s">
        <v>25</v>
      </c>
      <c r="G28" s="11">
        <v>46070</v>
      </c>
      <c r="H28" s="11">
        <v>46070</v>
      </c>
      <c r="I28" s="11">
        <v>46076</v>
      </c>
      <c r="J28" s="12" t="str">
        <f t="shared" si="2"/>
        <v>Дост. в срок</v>
      </c>
    </row>
    <row r="29" spans="1:10" ht="19.95" customHeight="1" x14ac:dyDescent="0.3">
      <c r="A29" s="8" t="s">
        <v>14</v>
      </c>
      <c r="B29" s="10">
        <v>190</v>
      </c>
      <c r="C29" s="8">
        <v>12</v>
      </c>
      <c r="D29" s="8">
        <f t="shared" si="0"/>
        <v>3</v>
      </c>
      <c r="E29" s="10">
        <f t="shared" si="1"/>
        <v>2280</v>
      </c>
      <c r="F29" s="8" t="s">
        <v>11</v>
      </c>
      <c r="G29" s="11">
        <v>46073</v>
      </c>
      <c r="H29" s="11">
        <v>46072</v>
      </c>
      <c r="I29" s="11">
        <v>46072</v>
      </c>
      <c r="J29" s="12" t="str">
        <f t="shared" si="2"/>
        <v>Просрочена</v>
      </c>
    </row>
    <row r="30" spans="1:10" ht="19.95" customHeight="1" x14ac:dyDescent="0.3">
      <c r="A30" s="8" t="s">
        <v>42</v>
      </c>
      <c r="B30" s="10">
        <v>70</v>
      </c>
      <c r="C30" s="8">
        <v>20</v>
      </c>
      <c r="D30" s="8">
        <f t="shared" si="0"/>
        <v>5</v>
      </c>
      <c r="E30" s="10">
        <f t="shared" si="1"/>
        <v>1400</v>
      </c>
      <c r="F30" s="8" t="s">
        <v>25</v>
      </c>
      <c r="G30" s="11">
        <v>46070</v>
      </c>
      <c r="H30" s="11">
        <v>46070</v>
      </c>
      <c r="I30" s="11">
        <v>46075</v>
      </c>
      <c r="J30" s="12" t="str">
        <f t="shared" si="2"/>
        <v>Дост. в срок</v>
      </c>
    </row>
    <row r="31" spans="1:10" ht="19.95" customHeight="1" x14ac:dyDescent="0.3">
      <c r="A31" s="14" t="s">
        <v>15</v>
      </c>
      <c r="B31" s="15">
        <v>1000</v>
      </c>
      <c r="C31" s="14">
        <v>350</v>
      </c>
      <c r="D31" s="14">
        <f t="shared" si="0"/>
        <v>87</v>
      </c>
      <c r="E31" s="16">
        <f t="shared" si="1"/>
        <v>350000</v>
      </c>
      <c r="F31" s="14" t="s">
        <v>11</v>
      </c>
      <c r="G31" s="18">
        <v>46073</v>
      </c>
      <c r="H31" s="18">
        <v>46072</v>
      </c>
      <c r="I31" s="18">
        <v>46072</v>
      </c>
      <c r="J31" s="19" t="str">
        <f t="shared" si="2"/>
        <v>Просрочена</v>
      </c>
    </row>
  </sheetData>
  <sortState xmlns:xlrd2="http://schemas.microsoft.com/office/spreadsheetml/2017/richdata2" ref="A2:I31">
    <sortCondition ref="A2:A31"/>
  </sortState>
  <conditionalFormatting sqref="J2:J31">
    <cfRule type="containsText" dxfId="6" priority="1" operator="containsText" text="Просрочена">
      <formula>NOT(ISERROR(SEARCH("Просрочена",K2)))</formula>
    </cfRule>
    <cfRule type="containsText" dxfId="5" priority="2" operator="containsText" text="Дост">
      <formula>NOT(ISERROR(SEARCH("Дост",K2)))</formula>
    </cfRule>
    <cfRule type="containsText" dxfId="4" priority="3" operator="containsText" text="Просрочена">
      <formula>NOT(ISERROR(SEARCH("Просрочена",K2)))</formula>
    </cfRule>
  </conditionalFormatting>
  <pageMargins left="0.7" right="0.7" top="0.75" bottom="0.75" header="0.3" footer="0.3"/>
  <pageSetup paperSize="9" orientation="portrait" horizontalDpi="4294967293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opLeftCell="A15" zoomScale="81" workbookViewId="0">
      <selection activeCell="M12" sqref="M12"/>
    </sheetView>
  </sheetViews>
  <sheetFormatPr defaultRowHeight="14.4" x14ac:dyDescent="0.3"/>
  <cols>
    <col min="1" max="2" width="18.77734375" customWidth="1"/>
    <col min="3" max="3" width="19.109375" bestFit="1" customWidth="1"/>
    <col min="4" max="7" width="18.77734375" customWidth="1"/>
    <col min="8" max="8" width="22.88671875" bestFit="1" customWidth="1"/>
    <col min="9" max="9" width="18.77734375" customWidth="1"/>
    <col min="10" max="10" width="17.77734375" customWidth="1"/>
  </cols>
  <sheetData>
    <row r="1" spans="1:10" ht="19.95" customHeight="1" x14ac:dyDescent="0.3">
      <c r="A1" s="20" t="s">
        <v>0</v>
      </c>
      <c r="B1" s="20" t="s">
        <v>1</v>
      </c>
      <c r="C1" s="20" t="s">
        <v>2</v>
      </c>
      <c r="D1" s="23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ht="19.95" customHeight="1" x14ac:dyDescent="0.3">
      <c r="A2" s="3" t="s">
        <v>10</v>
      </c>
      <c r="B2" s="4">
        <v>180</v>
      </c>
      <c r="C2" s="3">
        <v>20</v>
      </c>
      <c r="D2" s="3">
        <f t="shared" ref="D2:D31" si="0">INT(0.25*C2)</f>
        <v>5</v>
      </c>
      <c r="E2" s="4">
        <f t="shared" ref="E2:E31" si="1">B2*C2</f>
        <v>3600</v>
      </c>
      <c r="F2" s="3" t="s">
        <v>11</v>
      </c>
      <c r="G2" s="6">
        <v>46073</v>
      </c>
      <c r="H2" s="6">
        <v>46071</v>
      </c>
      <c r="I2" s="5">
        <v>46076</v>
      </c>
      <c r="J2" s="7" t="str">
        <f t="shared" ref="J2:J31" si="2">IF(G2=H2,"Дост. в срок","Просрочена")</f>
        <v>Просрочена</v>
      </c>
    </row>
    <row r="3" spans="1:10" ht="19.95" customHeight="1" x14ac:dyDescent="0.3">
      <c r="A3" s="8" t="s">
        <v>16</v>
      </c>
      <c r="B3" s="9">
        <v>280</v>
      </c>
      <c r="C3" s="8">
        <v>5</v>
      </c>
      <c r="D3" s="8">
        <f t="shared" si="0"/>
        <v>1</v>
      </c>
      <c r="E3" s="10">
        <f t="shared" si="1"/>
        <v>1400</v>
      </c>
      <c r="F3" s="8" t="s">
        <v>17</v>
      </c>
      <c r="G3" s="11">
        <v>46072</v>
      </c>
      <c r="H3" s="11">
        <v>46072</v>
      </c>
      <c r="I3" s="11">
        <v>46075</v>
      </c>
      <c r="J3" s="12" t="str">
        <f t="shared" si="2"/>
        <v>Дост. в срок</v>
      </c>
    </row>
    <row r="4" spans="1:10" ht="19.95" customHeight="1" x14ac:dyDescent="0.3">
      <c r="A4" s="8" t="s">
        <v>24</v>
      </c>
      <c r="B4" s="9">
        <v>120</v>
      </c>
      <c r="C4" s="8">
        <v>18</v>
      </c>
      <c r="D4" s="8">
        <f t="shared" si="0"/>
        <v>4</v>
      </c>
      <c r="E4" s="10">
        <f t="shared" si="1"/>
        <v>2160</v>
      </c>
      <c r="F4" s="8" t="s">
        <v>25</v>
      </c>
      <c r="G4" s="11">
        <v>46070</v>
      </c>
      <c r="H4" s="11">
        <v>46070</v>
      </c>
      <c r="I4" s="11">
        <v>46079</v>
      </c>
      <c r="J4" s="12" t="str">
        <f t="shared" si="2"/>
        <v>Дост. в срок</v>
      </c>
    </row>
    <row r="5" spans="1:10" ht="19.95" customHeight="1" x14ac:dyDescent="0.3">
      <c r="A5" s="8" t="s">
        <v>18</v>
      </c>
      <c r="B5" s="9">
        <v>170</v>
      </c>
      <c r="C5" s="8">
        <v>10</v>
      </c>
      <c r="D5" s="8">
        <f t="shared" si="0"/>
        <v>2</v>
      </c>
      <c r="E5" s="10">
        <f t="shared" si="1"/>
        <v>1700</v>
      </c>
      <c r="F5" s="8" t="s">
        <v>17</v>
      </c>
      <c r="G5" s="11">
        <v>46072</v>
      </c>
      <c r="H5" s="11">
        <v>46072</v>
      </c>
      <c r="I5" s="11">
        <v>46076</v>
      </c>
      <c r="J5" s="12" t="str">
        <f t="shared" si="2"/>
        <v>Дост. в срок</v>
      </c>
    </row>
    <row r="6" spans="1:10" ht="19.95" customHeight="1" x14ac:dyDescent="0.3">
      <c r="A6" s="8" t="s">
        <v>26</v>
      </c>
      <c r="B6" s="9">
        <v>160</v>
      </c>
      <c r="C6" s="8">
        <v>10</v>
      </c>
      <c r="D6" s="8">
        <f t="shared" si="0"/>
        <v>2</v>
      </c>
      <c r="E6" s="10">
        <f t="shared" si="1"/>
        <v>1600</v>
      </c>
      <c r="F6" s="8" t="s">
        <v>25</v>
      </c>
      <c r="G6" s="11">
        <v>46070</v>
      </c>
      <c r="H6" s="11">
        <v>46070</v>
      </c>
      <c r="I6" s="11">
        <v>46072</v>
      </c>
      <c r="J6" s="12" t="str">
        <f t="shared" si="2"/>
        <v>Дост. в срок</v>
      </c>
    </row>
    <row r="7" spans="1:10" ht="19.95" customHeight="1" x14ac:dyDescent="0.3">
      <c r="A7" s="8" t="s">
        <v>27</v>
      </c>
      <c r="B7" s="9">
        <v>123</v>
      </c>
      <c r="C7" s="8">
        <v>16</v>
      </c>
      <c r="D7" s="8">
        <f t="shared" si="0"/>
        <v>4</v>
      </c>
      <c r="E7" s="10">
        <f t="shared" si="1"/>
        <v>1968</v>
      </c>
      <c r="F7" s="8" t="s">
        <v>25</v>
      </c>
      <c r="G7" s="11">
        <v>46070</v>
      </c>
      <c r="H7" s="11">
        <v>46070</v>
      </c>
      <c r="I7" s="11">
        <v>46073</v>
      </c>
      <c r="J7" s="12" t="str">
        <f t="shared" si="2"/>
        <v>Дост. в срок</v>
      </c>
    </row>
    <row r="8" spans="1:10" ht="19.95" customHeight="1" x14ac:dyDescent="0.3">
      <c r="A8" s="8" t="s">
        <v>28</v>
      </c>
      <c r="B8" s="9">
        <v>120</v>
      </c>
      <c r="C8" s="8">
        <v>17</v>
      </c>
      <c r="D8" s="8">
        <f t="shared" si="0"/>
        <v>4</v>
      </c>
      <c r="E8" s="10">
        <f t="shared" si="1"/>
        <v>2040</v>
      </c>
      <c r="F8" s="8" t="s">
        <v>25</v>
      </c>
      <c r="G8" s="11">
        <v>46070</v>
      </c>
      <c r="H8" s="11">
        <v>46070</v>
      </c>
      <c r="I8" s="11">
        <v>46073</v>
      </c>
      <c r="J8" s="12" t="str">
        <f t="shared" si="2"/>
        <v>Дост. в срок</v>
      </c>
    </row>
    <row r="9" spans="1:10" ht="19.95" customHeight="1" x14ac:dyDescent="0.3">
      <c r="A9" s="8" t="s">
        <v>12</v>
      </c>
      <c r="B9" s="9">
        <v>120</v>
      </c>
      <c r="C9" s="8">
        <v>12</v>
      </c>
      <c r="D9" s="8">
        <f t="shared" si="0"/>
        <v>3</v>
      </c>
      <c r="E9" s="10">
        <f t="shared" si="1"/>
        <v>1440</v>
      </c>
      <c r="F9" s="8" t="s">
        <v>11</v>
      </c>
      <c r="G9" s="11">
        <v>46073</v>
      </c>
      <c r="H9" s="11">
        <v>46071</v>
      </c>
      <c r="I9" s="11">
        <v>46075</v>
      </c>
      <c r="J9" s="12" t="str">
        <f t="shared" si="2"/>
        <v>Просрочена</v>
      </c>
    </row>
    <row r="10" spans="1:10" ht="19.95" customHeight="1" x14ac:dyDescent="0.3">
      <c r="A10" s="8" t="s">
        <v>19</v>
      </c>
      <c r="B10" s="9">
        <v>150</v>
      </c>
      <c r="C10" s="8">
        <v>12</v>
      </c>
      <c r="D10" s="8">
        <f t="shared" si="0"/>
        <v>3</v>
      </c>
      <c r="E10" s="10">
        <f t="shared" si="1"/>
        <v>1800</v>
      </c>
      <c r="F10" s="8" t="s">
        <v>17</v>
      </c>
      <c r="G10" s="11">
        <v>46072</v>
      </c>
      <c r="H10" s="11">
        <v>46072</v>
      </c>
      <c r="I10" s="11">
        <v>46077</v>
      </c>
      <c r="J10" s="12" t="str">
        <f t="shared" si="2"/>
        <v>Дост. в срок</v>
      </c>
    </row>
    <row r="11" spans="1:10" ht="19.95" customHeight="1" x14ac:dyDescent="0.3">
      <c r="A11" s="8" t="s">
        <v>29</v>
      </c>
      <c r="B11" s="9">
        <v>80</v>
      </c>
      <c r="C11" s="8">
        <v>14</v>
      </c>
      <c r="D11" s="8">
        <f t="shared" si="0"/>
        <v>3</v>
      </c>
      <c r="E11" s="10">
        <f t="shared" si="1"/>
        <v>1120</v>
      </c>
      <c r="F11" s="8" t="s">
        <v>25</v>
      </c>
      <c r="G11" s="11">
        <v>46070</v>
      </c>
      <c r="H11" s="11">
        <v>46070</v>
      </c>
      <c r="I11" s="11">
        <v>46077</v>
      </c>
      <c r="J11" s="12" t="str">
        <f t="shared" si="2"/>
        <v>Дост. в срок</v>
      </c>
    </row>
    <row r="12" spans="1:10" ht="19.95" customHeight="1" x14ac:dyDescent="0.3">
      <c r="A12" s="8" t="s">
        <v>30</v>
      </c>
      <c r="B12" s="9">
        <v>65</v>
      </c>
      <c r="C12" s="8">
        <v>180</v>
      </c>
      <c r="D12" s="8">
        <f t="shared" si="0"/>
        <v>45</v>
      </c>
      <c r="E12" s="10">
        <f t="shared" si="1"/>
        <v>11700</v>
      </c>
      <c r="F12" s="8" t="s">
        <v>25</v>
      </c>
      <c r="G12" s="11">
        <v>46070</v>
      </c>
      <c r="H12" s="11">
        <v>46070</v>
      </c>
      <c r="I12" s="11">
        <v>46076</v>
      </c>
      <c r="J12" s="12" t="str">
        <f t="shared" si="2"/>
        <v>Дост. в срок</v>
      </c>
    </row>
    <row r="13" spans="1:10" ht="19.95" customHeight="1" x14ac:dyDescent="0.3">
      <c r="A13" s="8" t="s">
        <v>20</v>
      </c>
      <c r="B13" s="9">
        <v>186</v>
      </c>
      <c r="C13" s="8">
        <v>5</v>
      </c>
      <c r="D13" s="8">
        <f t="shared" si="0"/>
        <v>1</v>
      </c>
      <c r="E13" s="10">
        <f t="shared" si="1"/>
        <v>930</v>
      </c>
      <c r="F13" s="8" t="s">
        <v>17</v>
      </c>
      <c r="G13" s="11">
        <v>46072</v>
      </c>
      <c r="H13" s="11">
        <v>46072</v>
      </c>
      <c r="I13" s="11">
        <v>46074</v>
      </c>
      <c r="J13" s="12" t="str">
        <f t="shared" si="2"/>
        <v>Дост. в срок</v>
      </c>
    </row>
    <row r="14" spans="1:10" ht="19.95" customHeight="1" x14ac:dyDescent="0.3">
      <c r="A14" s="8" t="s">
        <v>31</v>
      </c>
      <c r="B14" s="9">
        <v>78</v>
      </c>
      <c r="C14" s="8">
        <v>25</v>
      </c>
      <c r="D14" s="8">
        <f t="shared" si="0"/>
        <v>6</v>
      </c>
      <c r="E14" s="10">
        <f t="shared" si="1"/>
        <v>1950</v>
      </c>
      <c r="F14" s="8" t="s">
        <v>25</v>
      </c>
      <c r="G14" s="11">
        <v>46070</v>
      </c>
      <c r="H14" s="11">
        <v>46070</v>
      </c>
      <c r="I14" s="11">
        <v>46077</v>
      </c>
      <c r="J14" s="12" t="str">
        <f t="shared" si="2"/>
        <v>Дост. в срок</v>
      </c>
    </row>
    <row r="15" spans="1:10" ht="19.95" customHeight="1" x14ac:dyDescent="0.3">
      <c r="A15" s="8" t="s">
        <v>32</v>
      </c>
      <c r="B15" s="9">
        <v>100</v>
      </c>
      <c r="C15" s="8">
        <v>30</v>
      </c>
      <c r="D15" s="8">
        <f t="shared" si="0"/>
        <v>7</v>
      </c>
      <c r="E15" s="10">
        <f t="shared" si="1"/>
        <v>3000</v>
      </c>
      <c r="F15" s="8" t="s">
        <v>25</v>
      </c>
      <c r="G15" s="11">
        <v>46070</v>
      </c>
      <c r="H15" s="11">
        <v>46070</v>
      </c>
      <c r="I15" s="11">
        <v>46073</v>
      </c>
      <c r="J15" s="12" t="str">
        <f t="shared" si="2"/>
        <v>Дост. в срок</v>
      </c>
    </row>
    <row r="16" spans="1:10" ht="19.95" customHeight="1" x14ac:dyDescent="0.3">
      <c r="A16" s="8" t="s">
        <v>33</v>
      </c>
      <c r="B16" s="9">
        <v>90</v>
      </c>
      <c r="C16" s="8">
        <v>60</v>
      </c>
      <c r="D16" s="8">
        <f t="shared" si="0"/>
        <v>15</v>
      </c>
      <c r="E16" s="10">
        <f t="shared" si="1"/>
        <v>5400</v>
      </c>
      <c r="F16" s="8" t="s">
        <v>25</v>
      </c>
      <c r="G16" s="11">
        <v>46070</v>
      </c>
      <c r="H16" s="11">
        <v>46070</v>
      </c>
      <c r="I16" s="11">
        <v>46072</v>
      </c>
      <c r="J16" s="12" t="str">
        <f t="shared" si="2"/>
        <v>Дост. в срок</v>
      </c>
    </row>
    <row r="17" spans="1:10" ht="19.95" customHeight="1" x14ac:dyDescent="0.3">
      <c r="A17" s="8" t="s">
        <v>34</v>
      </c>
      <c r="B17" s="9">
        <v>125</v>
      </c>
      <c r="C17" s="8">
        <v>20</v>
      </c>
      <c r="D17" s="8">
        <f t="shared" si="0"/>
        <v>5</v>
      </c>
      <c r="E17" s="10">
        <f t="shared" si="1"/>
        <v>2500</v>
      </c>
      <c r="F17" s="8" t="s">
        <v>25</v>
      </c>
      <c r="G17" s="11">
        <v>46070</v>
      </c>
      <c r="H17" s="11">
        <v>46070</v>
      </c>
      <c r="I17" s="11">
        <v>46077</v>
      </c>
      <c r="J17" s="12" t="str">
        <f t="shared" si="2"/>
        <v>Дост. в срок</v>
      </c>
    </row>
    <row r="18" spans="1:10" ht="19.95" customHeight="1" x14ac:dyDescent="0.3">
      <c r="A18" s="8" t="s">
        <v>35</v>
      </c>
      <c r="B18" s="9">
        <v>99</v>
      </c>
      <c r="C18" s="8">
        <v>14</v>
      </c>
      <c r="D18" s="8">
        <f t="shared" si="0"/>
        <v>3</v>
      </c>
      <c r="E18" s="10">
        <f t="shared" si="1"/>
        <v>1386</v>
      </c>
      <c r="F18" s="8" t="s">
        <v>25</v>
      </c>
      <c r="G18" s="11">
        <v>46070</v>
      </c>
      <c r="H18" s="11">
        <v>46070</v>
      </c>
      <c r="I18" s="11">
        <v>46073</v>
      </c>
      <c r="J18" s="12" t="str">
        <f t="shared" si="2"/>
        <v>Дост. в срок</v>
      </c>
    </row>
    <row r="19" spans="1:10" ht="19.95" customHeight="1" x14ac:dyDescent="0.3">
      <c r="A19" s="8" t="s">
        <v>13</v>
      </c>
      <c r="B19" s="9">
        <v>120</v>
      </c>
      <c r="C19" s="8">
        <v>13</v>
      </c>
      <c r="D19" s="8">
        <f t="shared" si="0"/>
        <v>3</v>
      </c>
      <c r="E19" s="10">
        <f t="shared" si="1"/>
        <v>1560</v>
      </c>
      <c r="F19" s="8" t="s">
        <v>11</v>
      </c>
      <c r="G19" s="11">
        <v>46073</v>
      </c>
      <c r="H19" s="11">
        <v>46071</v>
      </c>
      <c r="I19" s="11">
        <v>46074</v>
      </c>
      <c r="J19" s="12" t="str">
        <f t="shared" si="2"/>
        <v>Просрочена</v>
      </c>
    </row>
    <row r="20" spans="1:10" ht="19.95" customHeight="1" x14ac:dyDescent="0.3">
      <c r="A20" s="8" t="s">
        <v>36</v>
      </c>
      <c r="B20" s="9">
        <v>110</v>
      </c>
      <c r="C20" s="8">
        <v>50</v>
      </c>
      <c r="D20" s="8">
        <f t="shared" si="0"/>
        <v>12</v>
      </c>
      <c r="E20" s="10">
        <f t="shared" si="1"/>
        <v>5500</v>
      </c>
      <c r="F20" s="8" t="s">
        <v>25</v>
      </c>
      <c r="G20" s="11">
        <v>46070</v>
      </c>
      <c r="H20" s="11">
        <v>46070</v>
      </c>
      <c r="I20" s="11">
        <v>46072</v>
      </c>
      <c r="J20" s="12" t="str">
        <f t="shared" si="2"/>
        <v>Дост. в срок</v>
      </c>
    </row>
    <row r="21" spans="1:10" ht="19.95" customHeight="1" x14ac:dyDescent="0.3">
      <c r="A21" s="8" t="s">
        <v>37</v>
      </c>
      <c r="B21" s="9">
        <v>95</v>
      </c>
      <c r="C21" s="8">
        <v>16</v>
      </c>
      <c r="D21" s="8">
        <f t="shared" si="0"/>
        <v>4</v>
      </c>
      <c r="E21" s="10">
        <f t="shared" si="1"/>
        <v>1520</v>
      </c>
      <c r="F21" s="8" t="s">
        <v>25</v>
      </c>
      <c r="G21" s="11">
        <v>46070</v>
      </c>
      <c r="H21" s="11">
        <v>46070</v>
      </c>
      <c r="I21" s="11">
        <v>46072</v>
      </c>
      <c r="J21" s="12" t="str">
        <f t="shared" si="2"/>
        <v>Дост. в срок</v>
      </c>
    </row>
    <row r="22" spans="1:10" ht="19.95" customHeight="1" x14ac:dyDescent="0.3">
      <c r="A22" s="8" t="s">
        <v>38</v>
      </c>
      <c r="B22" s="10">
        <v>100</v>
      </c>
      <c r="C22" s="8">
        <v>10</v>
      </c>
      <c r="D22" s="8">
        <f t="shared" si="0"/>
        <v>2</v>
      </c>
      <c r="E22" s="10">
        <f t="shared" si="1"/>
        <v>1000</v>
      </c>
      <c r="F22" s="24" t="s">
        <v>25</v>
      </c>
      <c r="G22" s="13">
        <v>46070</v>
      </c>
      <c r="H22" s="13">
        <v>46070</v>
      </c>
      <c r="I22" s="11">
        <v>46078</v>
      </c>
      <c r="J22" s="12" t="str">
        <f t="shared" si="2"/>
        <v>Дост. в срок</v>
      </c>
    </row>
    <row r="23" spans="1:10" ht="19.95" customHeight="1" x14ac:dyDescent="0.3">
      <c r="A23" s="8" t="s">
        <v>39</v>
      </c>
      <c r="B23" s="10">
        <v>90</v>
      </c>
      <c r="C23" s="8">
        <v>19</v>
      </c>
      <c r="D23" s="8">
        <f t="shared" si="0"/>
        <v>4</v>
      </c>
      <c r="E23" s="10">
        <f t="shared" si="1"/>
        <v>1710</v>
      </c>
      <c r="F23" s="24" t="s">
        <v>25</v>
      </c>
      <c r="G23" s="13">
        <v>46070</v>
      </c>
      <c r="H23" s="13">
        <v>46070</v>
      </c>
      <c r="I23" s="11">
        <v>46077</v>
      </c>
      <c r="J23" s="12" t="str">
        <f t="shared" si="2"/>
        <v>Дост. в срок</v>
      </c>
    </row>
    <row r="24" spans="1:10" ht="19.95" customHeight="1" x14ac:dyDescent="0.3">
      <c r="A24" s="8" t="s">
        <v>40</v>
      </c>
      <c r="B24" s="10">
        <v>78</v>
      </c>
      <c r="C24" s="8">
        <v>30</v>
      </c>
      <c r="D24" s="8">
        <f t="shared" si="0"/>
        <v>7</v>
      </c>
      <c r="E24" s="10">
        <f t="shared" si="1"/>
        <v>2340</v>
      </c>
      <c r="F24" s="8" t="s">
        <v>25</v>
      </c>
      <c r="G24" s="13">
        <v>46070</v>
      </c>
      <c r="H24" s="13">
        <v>46070</v>
      </c>
      <c r="I24" s="11">
        <v>46072</v>
      </c>
      <c r="J24" s="12" t="str">
        <f t="shared" si="2"/>
        <v>Дост. в срок</v>
      </c>
    </row>
    <row r="25" spans="1:10" ht="19.95" customHeight="1" x14ac:dyDescent="0.3">
      <c r="A25" s="8" t="s">
        <v>21</v>
      </c>
      <c r="B25" s="10">
        <v>120</v>
      </c>
      <c r="C25" s="8">
        <v>2</v>
      </c>
      <c r="D25" s="8">
        <f t="shared" si="0"/>
        <v>0</v>
      </c>
      <c r="E25" s="10">
        <f t="shared" si="1"/>
        <v>240</v>
      </c>
      <c r="F25" s="8" t="s">
        <v>17</v>
      </c>
      <c r="G25" s="13">
        <v>46072</v>
      </c>
      <c r="H25" s="13">
        <v>46072</v>
      </c>
      <c r="I25" s="11">
        <v>46076</v>
      </c>
      <c r="J25" s="12" t="str">
        <f t="shared" si="2"/>
        <v>Дост. в срок</v>
      </c>
    </row>
    <row r="26" spans="1:10" ht="19.95" customHeight="1" x14ac:dyDescent="0.3">
      <c r="A26" s="8" t="s">
        <v>22</v>
      </c>
      <c r="B26" s="10">
        <v>163</v>
      </c>
      <c r="C26" s="8">
        <v>11</v>
      </c>
      <c r="D26" s="8">
        <f t="shared" si="0"/>
        <v>2</v>
      </c>
      <c r="E26" s="10">
        <f t="shared" si="1"/>
        <v>1793</v>
      </c>
      <c r="F26" s="8" t="s">
        <v>17</v>
      </c>
      <c r="G26" s="13">
        <v>46072</v>
      </c>
      <c r="H26" s="13">
        <v>46072</v>
      </c>
      <c r="I26" s="11">
        <v>46075</v>
      </c>
      <c r="J26" s="12" t="str">
        <f t="shared" si="2"/>
        <v>Дост. в срок</v>
      </c>
    </row>
    <row r="27" spans="1:10" ht="19.95" customHeight="1" x14ac:dyDescent="0.3">
      <c r="A27" s="8" t="s">
        <v>23</v>
      </c>
      <c r="B27" s="10">
        <v>105</v>
      </c>
      <c r="C27" s="8">
        <v>13</v>
      </c>
      <c r="D27" s="8">
        <f t="shared" si="0"/>
        <v>3</v>
      </c>
      <c r="E27" s="10">
        <f t="shared" si="1"/>
        <v>1365</v>
      </c>
      <c r="F27" s="8" t="s">
        <v>17</v>
      </c>
      <c r="G27" s="13">
        <v>46072</v>
      </c>
      <c r="H27" s="13">
        <v>46072</v>
      </c>
      <c r="I27" s="11">
        <v>46077</v>
      </c>
      <c r="J27" s="12" t="str">
        <f t="shared" si="2"/>
        <v>Дост. в срок</v>
      </c>
    </row>
    <row r="28" spans="1:10" ht="19.95" customHeight="1" x14ac:dyDescent="0.3">
      <c r="A28" s="8" t="s">
        <v>41</v>
      </c>
      <c r="B28" s="10">
        <v>70</v>
      </c>
      <c r="C28" s="8">
        <v>20</v>
      </c>
      <c r="D28" s="8">
        <f t="shared" si="0"/>
        <v>5</v>
      </c>
      <c r="E28" s="10">
        <f t="shared" si="1"/>
        <v>1400</v>
      </c>
      <c r="F28" s="8" t="s">
        <v>25</v>
      </c>
      <c r="G28" s="13">
        <v>46070</v>
      </c>
      <c r="H28" s="13">
        <v>46070</v>
      </c>
      <c r="I28" s="11">
        <v>46077</v>
      </c>
      <c r="J28" s="12" t="str">
        <f t="shared" si="2"/>
        <v>Дост. в срок</v>
      </c>
    </row>
    <row r="29" spans="1:10" ht="19.95" customHeight="1" x14ac:dyDescent="0.3">
      <c r="A29" s="8" t="s">
        <v>14</v>
      </c>
      <c r="B29" s="10">
        <v>220</v>
      </c>
      <c r="C29" s="8">
        <v>12</v>
      </c>
      <c r="D29" s="8">
        <f t="shared" si="0"/>
        <v>3</v>
      </c>
      <c r="E29" s="10">
        <f t="shared" si="1"/>
        <v>2640</v>
      </c>
      <c r="F29" s="8" t="s">
        <v>11</v>
      </c>
      <c r="G29" s="13">
        <v>46073</v>
      </c>
      <c r="H29" s="13">
        <v>46071</v>
      </c>
      <c r="I29" s="11">
        <v>46075</v>
      </c>
      <c r="J29" s="12" t="str">
        <f t="shared" si="2"/>
        <v>Просрочена</v>
      </c>
    </row>
    <row r="30" spans="1:10" ht="19.95" customHeight="1" x14ac:dyDescent="0.3">
      <c r="A30" s="8" t="s">
        <v>42</v>
      </c>
      <c r="B30" s="10">
        <v>42</v>
      </c>
      <c r="C30" s="8">
        <v>20</v>
      </c>
      <c r="D30" s="8">
        <f t="shared" si="0"/>
        <v>5</v>
      </c>
      <c r="E30" s="10">
        <f t="shared" si="1"/>
        <v>840</v>
      </c>
      <c r="F30" s="8" t="s">
        <v>25</v>
      </c>
      <c r="G30" s="13">
        <v>46070</v>
      </c>
      <c r="H30" s="13">
        <v>46070</v>
      </c>
      <c r="I30" s="11">
        <v>46077</v>
      </c>
      <c r="J30" s="12" t="str">
        <f t="shared" si="2"/>
        <v>Дост. в срок</v>
      </c>
    </row>
    <row r="31" spans="1:10" ht="19.95" customHeight="1" x14ac:dyDescent="0.3">
      <c r="A31" s="14" t="s">
        <v>15</v>
      </c>
      <c r="B31" s="15">
        <v>78</v>
      </c>
      <c r="C31" s="14">
        <v>40</v>
      </c>
      <c r="D31" s="14">
        <f t="shared" si="0"/>
        <v>10</v>
      </c>
      <c r="E31" s="16">
        <f t="shared" si="1"/>
        <v>3120</v>
      </c>
      <c r="F31" s="14" t="s">
        <v>11</v>
      </c>
      <c r="G31" s="17">
        <v>46073</v>
      </c>
      <c r="H31" s="18">
        <v>46071</v>
      </c>
      <c r="I31" s="18">
        <v>46078</v>
      </c>
      <c r="J31" s="19" t="str">
        <f t="shared" si="2"/>
        <v>Просрочена</v>
      </c>
    </row>
  </sheetData>
  <sortState xmlns:xlrd2="http://schemas.microsoft.com/office/spreadsheetml/2017/richdata2" ref="A2:I31">
    <sortCondition ref="A2:A31"/>
  </sortState>
  <conditionalFormatting sqref="J2:J31">
    <cfRule type="containsText" dxfId="3" priority="1" operator="containsText" text="Дост">
      <formula>NOT(ISERROR(SEARCH("Дост",K2)))</formula>
    </cfRule>
    <cfRule type="containsText" dxfId="2" priority="2" operator="containsText" text="Проср">
      <formula>NOT(ISERROR(SEARCH("Проср",K2)))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zoomScale="84" workbookViewId="0">
      <selection activeCell="D12" sqref="D12"/>
    </sheetView>
  </sheetViews>
  <sheetFormatPr defaultRowHeight="14.4" x14ac:dyDescent="0.3"/>
  <cols>
    <col min="1" max="2" width="18.77734375" customWidth="1"/>
    <col min="3" max="3" width="20.109375" bestFit="1" customWidth="1"/>
    <col min="4" max="7" width="18.77734375" customWidth="1"/>
    <col min="8" max="8" width="23.5546875" bestFit="1" customWidth="1"/>
    <col min="9" max="9" width="18.77734375" customWidth="1"/>
    <col min="10" max="10" width="18.77734375" bestFit="1" customWidth="1"/>
  </cols>
  <sheetData>
    <row r="1" spans="1:10" ht="19.95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ht="19.95" customHeight="1" x14ac:dyDescent="0.3">
      <c r="A2" s="3" t="s">
        <v>10</v>
      </c>
      <c r="B2" s="4">
        <v>170</v>
      </c>
      <c r="C2" s="3">
        <v>20</v>
      </c>
      <c r="D2" s="3">
        <f t="shared" ref="D2:D31" si="0">INT(0.25*C2)</f>
        <v>5</v>
      </c>
      <c r="E2" s="4">
        <f t="shared" ref="E2:E31" si="1">B2*C2</f>
        <v>3400</v>
      </c>
      <c r="F2" s="3" t="s">
        <v>11</v>
      </c>
      <c r="G2" s="6">
        <v>46074</v>
      </c>
      <c r="H2" s="6">
        <v>46074</v>
      </c>
      <c r="I2" s="5">
        <v>46076</v>
      </c>
      <c r="J2" s="7" t="str">
        <f t="shared" ref="J2:J31" si="2">IF(G2=H2,"Дост. в срок","Просрочена")</f>
        <v>Дост. в срок</v>
      </c>
    </row>
    <row r="3" spans="1:10" ht="19.95" customHeight="1" x14ac:dyDescent="0.3">
      <c r="A3" s="8" t="s">
        <v>16</v>
      </c>
      <c r="B3" s="9">
        <v>250</v>
      </c>
      <c r="C3" s="8">
        <v>10</v>
      </c>
      <c r="D3" s="8">
        <f t="shared" si="0"/>
        <v>2</v>
      </c>
      <c r="E3" s="10">
        <f t="shared" si="1"/>
        <v>2500</v>
      </c>
      <c r="F3" s="24" t="s">
        <v>17</v>
      </c>
      <c r="G3" s="11">
        <v>46073</v>
      </c>
      <c r="H3" s="13">
        <v>46072</v>
      </c>
      <c r="I3" s="11">
        <v>46076</v>
      </c>
      <c r="J3" s="12" t="str">
        <f t="shared" si="2"/>
        <v>Просрочена</v>
      </c>
    </row>
    <row r="4" spans="1:10" ht="19.95" customHeight="1" x14ac:dyDescent="0.3">
      <c r="A4" s="8" t="s">
        <v>24</v>
      </c>
      <c r="B4" s="9">
        <v>110</v>
      </c>
      <c r="C4" s="8">
        <v>18</v>
      </c>
      <c r="D4" s="8">
        <f t="shared" si="0"/>
        <v>4</v>
      </c>
      <c r="E4" s="10">
        <f t="shared" si="1"/>
        <v>1980</v>
      </c>
      <c r="F4" s="24" t="s">
        <v>25</v>
      </c>
      <c r="G4" s="11">
        <v>46071</v>
      </c>
      <c r="H4" s="13">
        <v>46071</v>
      </c>
      <c r="I4" s="11">
        <v>46075</v>
      </c>
      <c r="J4" s="12" t="str">
        <f t="shared" si="2"/>
        <v>Дост. в срок</v>
      </c>
    </row>
    <row r="5" spans="1:10" ht="19.95" customHeight="1" x14ac:dyDescent="0.3">
      <c r="A5" s="8" t="s">
        <v>18</v>
      </c>
      <c r="B5" s="9">
        <v>142</v>
      </c>
      <c r="C5" s="8">
        <v>15</v>
      </c>
      <c r="D5" s="8">
        <f t="shared" si="0"/>
        <v>3</v>
      </c>
      <c r="E5" s="10">
        <f t="shared" si="1"/>
        <v>2130</v>
      </c>
      <c r="F5" s="24" t="s">
        <v>17</v>
      </c>
      <c r="G5" s="11">
        <v>46073</v>
      </c>
      <c r="H5" s="13">
        <v>46072</v>
      </c>
      <c r="I5" s="11">
        <v>46076</v>
      </c>
      <c r="J5" s="12" t="str">
        <f t="shared" si="2"/>
        <v>Просрочена</v>
      </c>
    </row>
    <row r="6" spans="1:10" ht="19.95" customHeight="1" x14ac:dyDescent="0.3">
      <c r="A6" s="8" t="s">
        <v>26</v>
      </c>
      <c r="B6" s="9">
        <v>150</v>
      </c>
      <c r="C6" s="8">
        <v>13</v>
      </c>
      <c r="D6" s="8">
        <f t="shared" si="0"/>
        <v>3</v>
      </c>
      <c r="E6" s="10">
        <f t="shared" si="1"/>
        <v>1950</v>
      </c>
      <c r="F6" s="24" t="s">
        <v>25</v>
      </c>
      <c r="G6" s="11">
        <v>46071</v>
      </c>
      <c r="H6" s="13">
        <v>46071</v>
      </c>
      <c r="I6" s="11">
        <v>46073</v>
      </c>
      <c r="J6" s="12" t="str">
        <f t="shared" si="2"/>
        <v>Дост. в срок</v>
      </c>
    </row>
    <row r="7" spans="1:10" ht="19.95" customHeight="1" x14ac:dyDescent="0.3">
      <c r="A7" s="8" t="s">
        <v>27</v>
      </c>
      <c r="B7" s="9">
        <v>113</v>
      </c>
      <c r="C7" s="8">
        <v>16</v>
      </c>
      <c r="D7" s="8">
        <f t="shared" si="0"/>
        <v>4</v>
      </c>
      <c r="E7" s="10">
        <f t="shared" si="1"/>
        <v>1808</v>
      </c>
      <c r="F7" s="24" t="s">
        <v>25</v>
      </c>
      <c r="G7" s="11">
        <v>46071</v>
      </c>
      <c r="H7" s="13">
        <v>46071</v>
      </c>
      <c r="I7" s="11">
        <v>46073</v>
      </c>
      <c r="J7" s="12" t="str">
        <f t="shared" si="2"/>
        <v>Дост. в срок</v>
      </c>
    </row>
    <row r="8" spans="1:10" ht="19.95" customHeight="1" x14ac:dyDescent="0.3">
      <c r="A8" s="8" t="s">
        <v>28</v>
      </c>
      <c r="B8" s="9">
        <v>102</v>
      </c>
      <c r="C8" s="8">
        <v>10</v>
      </c>
      <c r="D8" s="8">
        <f t="shared" si="0"/>
        <v>2</v>
      </c>
      <c r="E8" s="10">
        <f t="shared" si="1"/>
        <v>1020</v>
      </c>
      <c r="F8" s="24" t="s">
        <v>25</v>
      </c>
      <c r="G8" s="11">
        <v>46071</v>
      </c>
      <c r="H8" s="13">
        <v>46071</v>
      </c>
      <c r="I8" s="11">
        <v>46073</v>
      </c>
      <c r="J8" s="12" t="str">
        <f t="shared" si="2"/>
        <v>Дост. в срок</v>
      </c>
    </row>
    <row r="9" spans="1:10" ht="19.95" customHeight="1" x14ac:dyDescent="0.3">
      <c r="A9" s="8" t="s">
        <v>12</v>
      </c>
      <c r="B9" s="9">
        <v>120</v>
      </c>
      <c r="C9" s="8">
        <v>12</v>
      </c>
      <c r="D9" s="8">
        <f t="shared" si="0"/>
        <v>3</v>
      </c>
      <c r="E9" s="10">
        <f t="shared" si="1"/>
        <v>1440</v>
      </c>
      <c r="F9" s="24" t="s">
        <v>11</v>
      </c>
      <c r="G9" s="11">
        <v>46074</v>
      </c>
      <c r="H9" s="13">
        <v>46074</v>
      </c>
      <c r="I9" s="11">
        <v>46075</v>
      </c>
      <c r="J9" s="12" t="str">
        <f t="shared" si="2"/>
        <v>Дост. в срок</v>
      </c>
    </row>
    <row r="10" spans="1:10" ht="19.95" customHeight="1" x14ac:dyDescent="0.3">
      <c r="A10" s="8" t="s">
        <v>19</v>
      </c>
      <c r="B10" s="9">
        <v>130</v>
      </c>
      <c r="C10" s="8">
        <v>12</v>
      </c>
      <c r="D10" s="8">
        <f t="shared" si="0"/>
        <v>3</v>
      </c>
      <c r="E10" s="10">
        <f t="shared" si="1"/>
        <v>1560</v>
      </c>
      <c r="F10" s="24" t="s">
        <v>17</v>
      </c>
      <c r="G10" s="11">
        <v>46073</v>
      </c>
      <c r="H10" s="13">
        <v>46072</v>
      </c>
      <c r="I10" s="11">
        <v>46076</v>
      </c>
      <c r="J10" s="12" t="str">
        <f t="shared" si="2"/>
        <v>Просрочена</v>
      </c>
    </row>
    <row r="11" spans="1:10" ht="19.95" customHeight="1" x14ac:dyDescent="0.3">
      <c r="A11" s="8" t="s">
        <v>29</v>
      </c>
      <c r="B11" s="9">
        <v>76</v>
      </c>
      <c r="C11" s="8">
        <v>17</v>
      </c>
      <c r="D11" s="8">
        <f t="shared" si="0"/>
        <v>4</v>
      </c>
      <c r="E11" s="10">
        <f t="shared" si="1"/>
        <v>1292</v>
      </c>
      <c r="F11" s="24" t="s">
        <v>25</v>
      </c>
      <c r="G11" s="11">
        <v>46071</v>
      </c>
      <c r="H11" s="13">
        <v>46071</v>
      </c>
      <c r="I11" s="11">
        <v>46077</v>
      </c>
      <c r="J11" s="12" t="str">
        <f t="shared" si="2"/>
        <v>Дост. в срок</v>
      </c>
    </row>
    <row r="12" spans="1:10" ht="19.95" customHeight="1" x14ac:dyDescent="0.3">
      <c r="A12" s="8" t="s">
        <v>30</v>
      </c>
      <c r="B12" s="9">
        <v>56</v>
      </c>
      <c r="C12" s="8">
        <v>250</v>
      </c>
      <c r="D12" s="8">
        <f t="shared" si="0"/>
        <v>62</v>
      </c>
      <c r="E12" s="10">
        <f t="shared" si="1"/>
        <v>14000</v>
      </c>
      <c r="F12" s="24" t="s">
        <v>25</v>
      </c>
      <c r="G12" s="11">
        <v>46071</v>
      </c>
      <c r="H12" s="13">
        <v>46071</v>
      </c>
      <c r="I12" s="11">
        <v>46077</v>
      </c>
      <c r="J12" s="12" t="str">
        <f t="shared" si="2"/>
        <v>Дост. в срок</v>
      </c>
    </row>
    <row r="13" spans="1:10" ht="19.95" customHeight="1" x14ac:dyDescent="0.3">
      <c r="A13" s="8" t="s">
        <v>20</v>
      </c>
      <c r="B13" s="9">
        <v>163</v>
      </c>
      <c r="C13" s="8">
        <v>8</v>
      </c>
      <c r="D13" s="8">
        <f t="shared" si="0"/>
        <v>2</v>
      </c>
      <c r="E13" s="10">
        <f t="shared" si="1"/>
        <v>1304</v>
      </c>
      <c r="F13" s="24" t="s">
        <v>17</v>
      </c>
      <c r="G13" s="11">
        <v>46073</v>
      </c>
      <c r="H13" s="13">
        <v>46072</v>
      </c>
      <c r="I13" s="11">
        <v>46074</v>
      </c>
      <c r="J13" s="12" t="str">
        <f t="shared" si="2"/>
        <v>Просрочена</v>
      </c>
    </row>
    <row r="14" spans="1:10" ht="19.95" customHeight="1" x14ac:dyDescent="0.3">
      <c r="A14" s="8" t="s">
        <v>31</v>
      </c>
      <c r="B14" s="9">
        <v>76</v>
      </c>
      <c r="C14" s="8">
        <v>25</v>
      </c>
      <c r="D14" s="8">
        <f t="shared" si="0"/>
        <v>6</v>
      </c>
      <c r="E14" s="10">
        <f t="shared" si="1"/>
        <v>1900</v>
      </c>
      <c r="F14" s="24" t="s">
        <v>25</v>
      </c>
      <c r="G14" s="11">
        <v>46071</v>
      </c>
      <c r="H14" s="13">
        <v>46071</v>
      </c>
      <c r="I14" s="11">
        <v>46077</v>
      </c>
      <c r="J14" s="12" t="str">
        <f t="shared" si="2"/>
        <v>Дост. в срок</v>
      </c>
    </row>
    <row r="15" spans="1:10" ht="19.95" customHeight="1" x14ac:dyDescent="0.3">
      <c r="A15" s="8" t="s">
        <v>32</v>
      </c>
      <c r="B15" s="9">
        <v>89</v>
      </c>
      <c r="C15" s="8">
        <v>40</v>
      </c>
      <c r="D15" s="8">
        <f t="shared" si="0"/>
        <v>10</v>
      </c>
      <c r="E15" s="10">
        <f t="shared" si="1"/>
        <v>3560</v>
      </c>
      <c r="F15" s="24" t="s">
        <v>25</v>
      </c>
      <c r="G15" s="11">
        <v>46071</v>
      </c>
      <c r="H15" s="13">
        <v>46071</v>
      </c>
      <c r="I15" s="11">
        <v>46077</v>
      </c>
      <c r="J15" s="12" t="str">
        <f t="shared" si="2"/>
        <v>Дост. в срок</v>
      </c>
    </row>
    <row r="16" spans="1:10" ht="19.95" customHeight="1" x14ac:dyDescent="0.3">
      <c r="A16" s="8" t="s">
        <v>33</v>
      </c>
      <c r="B16" s="9">
        <v>79</v>
      </c>
      <c r="C16" s="8">
        <v>120</v>
      </c>
      <c r="D16" s="8">
        <f t="shared" si="0"/>
        <v>30</v>
      </c>
      <c r="E16" s="10">
        <f t="shared" si="1"/>
        <v>9480</v>
      </c>
      <c r="F16" s="24" t="s">
        <v>25</v>
      </c>
      <c r="G16" s="11">
        <v>46071</v>
      </c>
      <c r="H16" s="13">
        <v>46071</v>
      </c>
      <c r="I16" s="11">
        <v>46072</v>
      </c>
      <c r="J16" s="12" t="str">
        <f t="shared" si="2"/>
        <v>Дост. в срок</v>
      </c>
    </row>
    <row r="17" spans="1:10" ht="19.95" customHeight="1" x14ac:dyDescent="0.3">
      <c r="A17" s="8" t="s">
        <v>34</v>
      </c>
      <c r="B17" s="9">
        <v>125</v>
      </c>
      <c r="C17" s="8">
        <v>19</v>
      </c>
      <c r="D17" s="8">
        <f t="shared" si="0"/>
        <v>4</v>
      </c>
      <c r="E17" s="10">
        <f t="shared" si="1"/>
        <v>2375</v>
      </c>
      <c r="F17" s="24" t="s">
        <v>25</v>
      </c>
      <c r="G17" s="11">
        <v>46071</v>
      </c>
      <c r="H17" s="13">
        <v>46071</v>
      </c>
      <c r="I17" s="11">
        <v>46077</v>
      </c>
      <c r="J17" s="12" t="str">
        <f t="shared" si="2"/>
        <v>Дост. в срок</v>
      </c>
    </row>
    <row r="18" spans="1:10" ht="19.95" customHeight="1" x14ac:dyDescent="0.3">
      <c r="A18" s="8" t="s">
        <v>35</v>
      </c>
      <c r="B18" s="9">
        <v>96</v>
      </c>
      <c r="C18" s="8">
        <v>16</v>
      </c>
      <c r="D18" s="8">
        <f t="shared" si="0"/>
        <v>4</v>
      </c>
      <c r="E18" s="10">
        <f t="shared" si="1"/>
        <v>1536</v>
      </c>
      <c r="F18" s="24" t="s">
        <v>25</v>
      </c>
      <c r="G18" s="11">
        <v>46071</v>
      </c>
      <c r="H18" s="13">
        <v>46071</v>
      </c>
      <c r="I18" s="11">
        <v>46073</v>
      </c>
      <c r="J18" s="12" t="str">
        <f t="shared" si="2"/>
        <v>Дост. в срок</v>
      </c>
    </row>
    <row r="19" spans="1:10" ht="19.95" customHeight="1" x14ac:dyDescent="0.3">
      <c r="A19" s="8" t="s">
        <v>13</v>
      </c>
      <c r="B19" s="9">
        <v>100</v>
      </c>
      <c r="C19" s="8">
        <v>18</v>
      </c>
      <c r="D19" s="8">
        <f t="shared" si="0"/>
        <v>4</v>
      </c>
      <c r="E19" s="10">
        <f t="shared" si="1"/>
        <v>1800</v>
      </c>
      <c r="F19" s="24" t="s">
        <v>11</v>
      </c>
      <c r="G19" s="11">
        <v>46074</v>
      </c>
      <c r="H19" s="13">
        <v>46074</v>
      </c>
      <c r="I19" s="11">
        <v>46075</v>
      </c>
      <c r="J19" s="12" t="str">
        <f t="shared" si="2"/>
        <v>Дост. в срок</v>
      </c>
    </row>
    <row r="20" spans="1:10" ht="19.95" customHeight="1" x14ac:dyDescent="0.3">
      <c r="A20" s="8" t="s">
        <v>36</v>
      </c>
      <c r="B20" s="9">
        <v>85</v>
      </c>
      <c r="C20" s="8">
        <v>100</v>
      </c>
      <c r="D20" s="8">
        <f t="shared" si="0"/>
        <v>25</v>
      </c>
      <c r="E20" s="10">
        <f t="shared" si="1"/>
        <v>8500</v>
      </c>
      <c r="F20" s="24" t="s">
        <v>25</v>
      </c>
      <c r="G20" s="11">
        <v>46071</v>
      </c>
      <c r="H20" s="13">
        <v>46071</v>
      </c>
      <c r="I20" s="11">
        <v>46073</v>
      </c>
      <c r="J20" s="12" t="str">
        <f t="shared" si="2"/>
        <v>Дост. в срок</v>
      </c>
    </row>
    <row r="21" spans="1:10" ht="19.95" customHeight="1" x14ac:dyDescent="0.3">
      <c r="A21" s="8" t="s">
        <v>37</v>
      </c>
      <c r="B21" s="9">
        <v>95</v>
      </c>
      <c r="C21" s="8">
        <v>16</v>
      </c>
      <c r="D21" s="8">
        <f t="shared" si="0"/>
        <v>4</v>
      </c>
      <c r="E21" s="10">
        <f t="shared" si="1"/>
        <v>1520</v>
      </c>
      <c r="F21" s="24" t="s">
        <v>25</v>
      </c>
      <c r="G21" s="11">
        <v>46071</v>
      </c>
      <c r="H21" s="13">
        <v>46071</v>
      </c>
      <c r="I21" s="11">
        <v>46072</v>
      </c>
      <c r="J21" s="12" t="str">
        <f t="shared" si="2"/>
        <v>Дост. в срок</v>
      </c>
    </row>
    <row r="22" spans="1:10" ht="19.95" customHeight="1" x14ac:dyDescent="0.3">
      <c r="A22" s="8" t="s">
        <v>38</v>
      </c>
      <c r="B22" s="10">
        <v>90</v>
      </c>
      <c r="C22" s="8">
        <v>12</v>
      </c>
      <c r="D22" s="8">
        <f t="shared" si="0"/>
        <v>3</v>
      </c>
      <c r="E22" s="10">
        <f t="shared" si="1"/>
        <v>1080</v>
      </c>
      <c r="F22" s="24" t="s">
        <v>25</v>
      </c>
      <c r="G22" s="11">
        <v>46071</v>
      </c>
      <c r="H22" s="13">
        <v>46071</v>
      </c>
      <c r="I22" s="11">
        <v>46078</v>
      </c>
      <c r="J22" s="12" t="str">
        <f t="shared" si="2"/>
        <v>Дост. в срок</v>
      </c>
    </row>
    <row r="23" spans="1:10" ht="19.95" customHeight="1" x14ac:dyDescent="0.3">
      <c r="A23" s="8" t="s">
        <v>39</v>
      </c>
      <c r="B23" s="10">
        <v>82</v>
      </c>
      <c r="C23" s="8">
        <v>19</v>
      </c>
      <c r="D23" s="8">
        <f t="shared" si="0"/>
        <v>4</v>
      </c>
      <c r="E23" s="10">
        <f t="shared" si="1"/>
        <v>1558</v>
      </c>
      <c r="F23" s="24" t="s">
        <v>25</v>
      </c>
      <c r="G23" s="11">
        <v>46071</v>
      </c>
      <c r="H23" s="13">
        <v>46071</v>
      </c>
      <c r="I23" s="11">
        <v>46077</v>
      </c>
      <c r="J23" s="12" t="str">
        <f t="shared" si="2"/>
        <v>Дост. в срок</v>
      </c>
    </row>
    <row r="24" spans="1:10" ht="19.95" customHeight="1" x14ac:dyDescent="0.3">
      <c r="A24" s="8" t="s">
        <v>40</v>
      </c>
      <c r="B24" s="10">
        <v>78</v>
      </c>
      <c r="C24" s="8">
        <v>54</v>
      </c>
      <c r="D24" s="8">
        <f t="shared" si="0"/>
        <v>13</v>
      </c>
      <c r="E24" s="10">
        <f t="shared" si="1"/>
        <v>4212</v>
      </c>
      <c r="F24" s="24" t="s">
        <v>25</v>
      </c>
      <c r="G24" s="11">
        <v>46071</v>
      </c>
      <c r="H24" s="11">
        <v>46071</v>
      </c>
      <c r="I24" s="11">
        <v>46072</v>
      </c>
      <c r="J24" s="12" t="str">
        <f t="shared" si="2"/>
        <v>Дост. в срок</v>
      </c>
    </row>
    <row r="25" spans="1:10" ht="19.95" customHeight="1" x14ac:dyDescent="0.3">
      <c r="A25" s="8" t="s">
        <v>21</v>
      </c>
      <c r="B25" s="10">
        <v>120</v>
      </c>
      <c r="C25" s="8">
        <v>2</v>
      </c>
      <c r="D25" s="8">
        <f t="shared" si="0"/>
        <v>0</v>
      </c>
      <c r="E25" s="10">
        <f t="shared" si="1"/>
        <v>240</v>
      </c>
      <c r="F25" s="24" t="s">
        <v>17</v>
      </c>
      <c r="G25" s="11">
        <v>46073</v>
      </c>
      <c r="H25" s="11">
        <v>46072</v>
      </c>
      <c r="I25" s="11">
        <v>46076</v>
      </c>
      <c r="J25" s="12" t="str">
        <f t="shared" si="2"/>
        <v>Просрочена</v>
      </c>
    </row>
    <row r="26" spans="1:10" ht="19.95" customHeight="1" x14ac:dyDescent="0.3">
      <c r="A26" s="8" t="s">
        <v>22</v>
      </c>
      <c r="B26" s="10">
        <v>163</v>
      </c>
      <c r="C26" s="8">
        <v>11</v>
      </c>
      <c r="D26" s="8">
        <f t="shared" si="0"/>
        <v>2</v>
      </c>
      <c r="E26" s="10">
        <f t="shared" si="1"/>
        <v>1793</v>
      </c>
      <c r="F26" s="24" t="s">
        <v>17</v>
      </c>
      <c r="G26" s="11">
        <v>46073</v>
      </c>
      <c r="H26" s="11">
        <v>46072</v>
      </c>
      <c r="I26" s="11">
        <v>46075</v>
      </c>
      <c r="J26" s="12" t="str">
        <f t="shared" si="2"/>
        <v>Просрочена</v>
      </c>
    </row>
    <row r="27" spans="1:10" ht="19.95" customHeight="1" x14ac:dyDescent="0.3">
      <c r="A27" s="8" t="s">
        <v>23</v>
      </c>
      <c r="B27" s="10">
        <v>105</v>
      </c>
      <c r="C27" s="8">
        <v>13</v>
      </c>
      <c r="D27" s="8">
        <f t="shared" si="0"/>
        <v>3</v>
      </c>
      <c r="E27" s="10">
        <f t="shared" si="1"/>
        <v>1365</v>
      </c>
      <c r="F27" s="24" t="s">
        <v>17</v>
      </c>
      <c r="G27" s="11">
        <v>46073</v>
      </c>
      <c r="H27" s="11">
        <v>46072</v>
      </c>
      <c r="I27" s="11">
        <v>46077</v>
      </c>
      <c r="J27" s="12" t="str">
        <f t="shared" si="2"/>
        <v>Просрочена</v>
      </c>
    </row>
    <row r="28" spans="1:10" ht="19.95" customHeight="1" x14ac:dyDescent="0.3">
      <c r="A28" s="8" t="s">
        <v>41</v>
      </c>
      <c r="B28" s="10">
        <v>65</v>
      </c>
      <c r="C28" s="8">
        <v>50</v>
      </c>
      <c r="D28" s="8">
        <f t="shared" si="0"/>
        <v>12</v>
      </c>
      <c r="E28" s="10">
        <f t="shared" si="1"/>
        <v>3250</v>
      </c>
      <c r="F28" s="24" t="s">
        <v>25</v>
      </c>
      <c r="G28" s="11">
        <v>46071</v>
      </c>
      <c r="H28" s="11">
        <v>46071</v>
      </c>
      <c r="I28" s="11">
        <v>46078</v>
      </c>
      <c r="J28" s="12" t="str">
        <f t="shared" si="2"/>
        <v>Дост. в срок</v>
      </c>
    </row>
    <row r="29" spans="1:10" ht="19.95" customHeight="1" x14ac:dyDescent="0.3">
      <c r="A29" s="8" t="s">
        <v>14</v>
      </c>
      <c r="B29" s="10">
        <v>190</v>
      </c>
      <c r="C29" s="8">
        <v>12</v>
      </c>
      <c r="D29" s="8">
        <f t="shared" si="0"/>
        <v>3</v>
      </c>
      <c r="E29" s="10">
        <f t="shared" si="1"/>
        <v>2280</v>
      </c>
      <c r="F29" s="24" t="s">
        <v>11</v>
      </c>
      <c r="G29" s="11">
        <v>46074</v>
      </c>
      <c r="H29" s="11">
        <v>46074</v>
      </c>
      <c r="I29" s="11">
        <v>46076</v>
      </c>
      <c r="J29" s="12" t="str">
        <f t="shared" si="2"/>
        <v>Дост. в срок</v>
      </c>
    </row>
    <row r="30" spans="1:10" ht="19.95" customHeight="1" x14ac:dyDescent="0.3">
      <c r="A30" s="8" t="s">
        <v>42</v>
      </c>
      <c r="B30" s="10">
        <v>42</v>
      </c>
      <c r="C30" s="8">
        <v>30</v>
      </c>
      <c r="D30" s="8">
        <f t="shared" si="0"/>
        <v>7</v>
      </c>
      <c r="E30" s="10">
        <f t="shared" si="1"/>
        <v>1260</v>
      </c>
      <c r="F30" s="24" t="s">
        <v>25</v>
      </c>
      <c r="G30" s="11">
        <v>46071</v>
      </c>
      <c r="H30" s="11">
        <v>46071</v>
      </c>
      <c r="I30" s="11">
        <v>46077</v>
      </c>
      <c r="J30" s="12" t="str">
        <f t="shared" si="2"/>
        <v>Дост. в срок</v>
      </c>
    </row>
    <row r="31" spans="1:10" ht="19.95" customHeight="1" x14ac:dyDescent="0.3">
      <c r="A31" s="14" t="s">
        <v>15</v>
      </c>
      <c r="B31" s="15">
        <v>78</v>
      </c>
      <c r="C31" s="14">
        <v>35000</v>
      </c>
      <c r="D31" s="14">
        <f t="shared" si="0"/>
        <v>8750</v>
      </c>
      <c r="E31" s="16">
        <f t="shared" si="1"/>
        <v>2730000</v>
      </c>
      <c r="F31" s="14" t="s">
        <v>11</v>
      </c>
      <c r="G31" s="18">
        <v>46074</v>
      </c>
      <c r="H31" s="18">
        <v>46074</v>
      </c>
      <c r="I31" s="18">
        <v>46078</v>
      </c>
      <c r="J31" s="19" t="str">
        <f t="shared" si="2"/>
        <v>Дост. в срок</v>
      </c>
    </row>
  </sheetData>
  <sortState xmlns:xlrd2="http://schemas.microsoft.com/office/spreadsheetml/2017/richdata2" ref="A2:I31">
    <sortCondition ref="A2:A31"/>
  </sortState>
  <conditionalFormatting sqref="J2:J31">
    <cfRule type="containsText" dxfId="1" priority="1" operator="containsText" text="Проср">
      <formula>NOT(ISERROR(SEARCH("Проср",K2)))</formula>
    </cfRule>
    <cfRule type="containsText" dxfId="0" priority="2" operator="containsText" text="Дост">
      <formula>NOT(ISERROR(SEARCH("Дост",K2)))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1"/>
  <sheetViews>
    <sheetView tabSelected="1" topLeftCell="H16" workbookViewId="0"/>
  </sheetViews>
  <sheetFormatPr defaultRowHeight="14.4" x14ac:dyDescent="0.3"/>
  <cols>
    <col min="1" max="1" width="12.109375" bestFit="1" customWidth="1"/>
    <col min="2" max="2" width="14.44140625" customWidth="1"/>
    <col min="3" max="3" width="10.5546875" customWidth="1"/>
    <col min="4" max="4" width="19.33203125" customWidth="1"/>
    <col min="5" max="5" width="14.88671875" customWidth="1"/>
    <col min="6" max="6" width="14.109375" customWidth="1"/>
    <col min="7" max="7" width="25.44140625" customWidth="1"/>
    <col min="8" max="8" width="17.33203125" bestFit="1" customWidth="1"/>
    <col min="9" max="9" width="22.88671875" bestFit="1" customWidth="1"/>
    <col min="10" max="10" width="17.33203125" bestFit="1" customWidth="1"/>
    <col min="11" max="11" width="18.6640625" customWidth="1"/>
    <col min="12" max="12" width="14.88671875" bestFit="1" customWidth="1"/>
    <col min="14" max="14" width="19.33203125" bestFit="1"/>
    <col min="15" max="15" width="16.88671875" bestFit="1"/>
    <col min="16" max="16" width="21.5546875" customWidth="1"/>
    <col min="17" max="17" width="18" bestFit="1"/>
    <col min="18" max="18" width="17.33203125" bestFit="1"/>
  </cols>
  <sheetData>
    <row r="1" spans="1:18" x14ac:dyDescent="0.3">
      <c r="A1" s="23" t="s">
        <v>43</v>
      </c>
      <c r="B1" s="20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2" t="s">
        <v>8</v>
      </c>
      <c r="K1" s="21" t="s">
        <v>9</v>
      </c>
      <c r="L1" s="23" t="s">
        <v>44</v>
      </c>
    </row>
    <row r="2" spans="1:18" x14ac:dyDescent="0.3">
      <c r="A2" s="25" t="str">
        <f t="shared" ref="A2:A31" si="0">"Восток"</f>
        <v>Восток</v>
      </c>
      <c r="B2" s="25" t="str">
        <f>Восток!A12</f>
        <v>Картофель</v>
      </c>
      <c r="C2" s="25">
        <f>Восток!B12</f>
        <v>56</v>
      </c>
      <c r="D2" s="25">
        <f>Восток!C12</f>
        <v>250</v>
      </c>
      <c r="E2" s="25">
        <f>Восток!D12</f>
        <v>62</v>
      </c>
      <c r="F2" s="25">
        <f>Восток!E12</f>
        <v>14000</v>
      </c>
      <c r="G2" s="25" t="str">
        <f>Восток!F12</f>
        <v>&lt;&lt;ООО&gt;&gt;"Зарница"</v>
      </c>
      <c r="H2" s="26">
        <f>Восток!G12</f>
        <v>46071</v>
      </c>
      <c r="I2" s="26">
        <f>Восток!H12</f>
        <v>46071</v>
      </c>
      <c r="J2" s="26">
        <f>Восток!I12</f>
        <v>46077</v>
      </c>
      <c r="K2" s="25" t="str">
        <f>Восток!J12</f>
        <v>Дост. в срок</v>
      </c>
      <c r="L2" s="27">
        <f t="shared" ref="L2:L9" si="1">D2+E2</f>
        <v>312</v>
      </c>
      <c r="O2" t="s">
        <v>45</v>
      </c>
    </row>
    <row r="3" spans="1:18" x14ac:dyDescent="0.3">
      <c r="A3" s="25" t="str">
        <f t="shared" si="0"/>
        <v>Восток</v>
      </c>
      <c r="B3" s="25" t="str">
        <f>Восток!A16</f>
        <v>Огурцы</v>
      </c>
      <c r="C3" s="25">
        <f>Восток!B16</f>
        <v>79</v>
      </c>
      <c r="D3" s="25">
        <f>Восток!C16</f>
        <v>120</v>
      </c>
      <c r="E3" s="25">
        <f>Восток!D16</f>
        <v>30</v>
      </c>
      <c r="F3" s="25">
        <f>Восток!E16</f>
        <v>9480</v>
      </c>
      <c r="G3" s="25" t="str">
        <f>Восток!F16</f>
        <v>&lt;&lt;ООО&gt;&gt;"Зарница"</v>
      </c>
      <c r="H3" s="26">
        <f>Восток!G16</f>
        <v>46071</v>
      </c>
      <c r="I3" s="26">
        <f>Восток!H16</f>
        <v>46071</v>
      </c>
      <c r="J3" s="26">
        <f>Восток!I16</f>
        <v>46072</v>
      </c>
      <c r="K3" s="25" t="str">
        <f>Восток!J16</f>
        <v>Дост. в срок</v>
      </c>
      <c r="L3" s="27">
        <f t="shared" si="1"/>
        <v>150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</row>
    <row r="4" spans="1:18" x14ac:dyDescent="0.3">
      <c r="A4" s="25" t="str">
        <f t="shared" si="0"/>
        <v>Восток</v>
      </c>
      <c r="B4" s="25" t="str">
        <f>Восток!A20</f>
        <v>Помидоры</v>
      </c>
      <c r="C4" s="25">
        <f>Восток!B20</f>
        <v>85</v>
      </c>
      <c r="D4" s="25">
        <f>Восток!C20</f>
        <v>100</v>
      </c>
      <c r="E4" s="25">
        <f>Восток!D20</f>
        <v>25</v>
      </c>
      <c r="F4" s="25">
        <f>Восток!E20</f>
        <v>8500</v>
      </c>
      <c r="G4" s="25" t="str">
        <f>Восток!F20</f>
        <v>&lt;&lt;ООО&gt;&gt;"Зарница"</v>
      </c>
      <c r="H4" s="26">
        <f>Восток!G20</f>
        <v>46071</v>
      </c>
      <c r="I4" s="26">
        <f>Восток!H20</f>
        <v>46071</v>
      </c>
      <c r="J4" s="26">
        <f>Восток!I20</f>
        <v>46073</v>
      </c>
      <c r="K4" s="25" t="str">
        <f>Восток!J20</f>
        <v>Дост. в срок</v>
      </c>
      <c r="L4" s="27">
        <f t="shared" si="1"/>
        <v>125</v>
      </c>
      <c r="N4" s="28" t="s">
        <v>51</v>
      </c>
      <c r="O4">
        <v>84823</v>
      </c>
      <c r="P4">
        <v>84823</v>
      </c>
      <c r="Q4">
        <v>84823</v>
      </c>
      <c r="R4">
        <v>84823</v>
      </c>
    </row>
    <row r="5" spans="1:18" x14ac:dyDescent="0.3">
      <c r="A5" s="25" t="str">
        <f t="shared" si="0"/>
        <v>Восток</v>
      </c>
      <c r="B5" s="25" t="str">
        <f>Восток!A24</f>
        <v>Свекла</v>
      </c>
      <c r="C5" s="25">
        <f>Восток!B24</f>
        <v>78</v>
      </c>
      <c r="D5" s="25">
        <f>Восток!C24</f>
        <v>54</v>
      </c>
      <c r="E5" s="25">
        <f>Восток!D24</f>
        <v>13</v>
      </c>
      <c r="F5" s="25">
        <f>Восток!E24</f>
        <v>4212</v>
      </c>
      <c r="G5" s="25" t="str">
        <f>Восток!F24</f>
        <v>&lt;&lt;ООО&gt;&gt;"Зарница"</v>
      </c>
      <c r="H5" s="26">
        <f>Восток!G24</f>
        <v>46071</v>
      </c>
      <c r="I5" s="26">
        <f>Восток!H24</f>
        <v>46071</v>
      </c>
      <c r="J5" s="26">
        <f>Восток!I24</f>
        <v>46072</v>
      </c>
      <c r="K5" s="25" t="str">
        <f>Восток!J24</f>
        <v>Дост. в срок</v>
      </c>
      <c r="L5" s="27">
        <f t="shared" si="1"/>
        <v>67</v>
      </c>
      <c r="N5" s="28" t="s">
        <v>52</v>
      </c>
      <c r="O5">
        <v>70722</v>
      </c>
      <c r="P5">
        <v>70722</v>
      </c>
      <c r="Q5">
        <v>70722</v>
      </c>
      <c r="R5">
        <v>70722</v>
      </c>
    </row>
    <row r="6" spans="1:18" x14ac:dyDescent="0.3">
      <c r="A6" s="25" t="str">
        <f t="shared" si="0"/>
        <v>Восток</v>
      </c>
      <c r="B6" s="25" t="str">
        <f>Восток!A15</f>
        <v>Морковь</v>
      </c>
      <c r="C6" s="25">
        <f>Восток!B15</f>
        <v>89</v>
      </c>
      <c r="D6" s="25">
        <f>Восток!C15</f>
        <v>40</v>
      </c>
      <c r="E6" s="25">
        <f>Восток!D15</f>
        <v>10</v>
      </c>
      <c r="F6" s="25">
        <f>Восток!E15</f>
        <v>3560</v>
      </c>
      <c r="G6" s="25" t="str">
        <f>Восток!F15</f>
        <v>&lt;&lt;ООО&gt;&gt;"Зарница"</v>
      </c>
      <c r="H6" s="26">
        <f>Восток!G15</f>
        <v>46071</v>
      </c>
      <c r="I6" s="26">
        <f>Восток!H15</f>
        <v>46071</v>
      </c>
      <c r="J6" s="26">
        <f>Восток!I15</f>
        <v>46077</v>
      </c>
      <c r="K6" s="25" t="str">
        <f>Восток!J15</f>
        <v>Дост. в срок</v>
      </c>
      <c r="L6" s="27">
        <f t="shared" si="1"/>
        <v>50</v>
      </c>
      <c r="N6" s="28" t="s">
        <v>53</v>
      </c>
      <c r="O6">
        <v>433622</v>
      </c>
      <c r="P6">
        <v>433622</v>
      </c>
      <c r="Q6">
        <v>433622</v>
      </c>
      <c r="R6">
        <v>433622</v>
      </c>
    </row>
    <row r="7" spans="1:18" x14ac:dyDescent="0.3">
      <c r="A7" s="25" t="str">
        <f t="shared" si="0"/>
        <v>Восток</v>
      </c>
      <c r="B7" s="25" t="str">
        <f>Восток!A2</f>
        <v>Абрикосы</v>
      </c>
      <c r="C7" s="25">
        <f>Восток!B2</f>
        <v>170</v>
      </c>
      <c r="D7" s="25">
        <f>Восток!C2</f>
        <v>20</v>
      </c>
      <c r="E7" s="25">
        <f>Восток!D2</f>
        <v>5</v>
      </c>
      <c r="F7" s="25">
        <f>Восток!E2</f>
        <v>3400</v>
      </c>
      <c r="G7" s="25" t="str">
        <f>Восток!F2</f>
        <v>"ChinaKO TM"</v>
      </c>
      <c r="H7" s="26">
        <f>Восток!G2</f>
        <v>46074</v>
      </c>
      <c r="I7" s="26">
        <f>Восток!H2</f>
        <v>46074</v>
      </c>
      <c r="J7" s="26">
        <f>Восток!I2</f>
        <v>46076</v>
      </c>
      <c r="K7" s="25" t="str">
        <f>Восток!J2</f>
        <v>Дост. в срок</v>
      </c>
      <c r="L7" s="27">
        <f t="shared" si="1"/>
        <v>25</v>
      </c>
      <c r="N7" s="28" t="s">
        <v>54</v>
      </c>
      <c r="O7">
        <v>96516</v>
      </c>
      <c r="P7">
        <v>96516</v>
      </c>
      <c r="Q7">
        <v>96516</v>
      </c>
      <c r="R7">
        <v>96516</v>
      </c>
    </row>
    <row r="8" spans="1:18" x14ac:dyDescent="0.3">
      <c r="A8" s="25" t="str">
        <f t="shared" si="0"/>
        <v>Восток</v>
      </c>
      <c r="B8" s="25" t="str">
        <f>Восток!A28</f>
        <v>Тыква</v>
      </c>
      <c r="C8" s="25">
        <f>Восток!B28</f>
        <v>65</v>
      </c>
      <c r="D8" s="25">
        <f>Восток!C28</f>
        <v>50</v>
      </c>
      <c r="E8" s="25">
        <f>Восток!D28</f>
        <v>12</v>
      </c>
      <c r="F8" s="25">
        <f>Восток!E28</f>
        <v>3250</v>
      </c>
      <c r="G8" s="25" t="str">
        <f>Восток!F28</f>
        <v>&lt;&lt;ООО&gt;&gt;"Зарница"</v>
      </c>
      <c r="H8" s="26">
        <f>Восток!G28</f>
        <v>46071</v>
      </c>
      <c r="I8" s="26">
        <f>Восток!H28</f>
        <v>46071</v>
      </c>
      <c r="J8" s="26">
        <f>Восток!I28</f>
        <v>46078</v>
      </c>
      <c r="K8" s="25" t="str">
        <f>Восток!J28</f>
        <v>Дост. в срок</v>
      </c>
      <c r="L8" s="27">
        <f t="shared" si="1"/>
        <v>62</v>
      </c>
      <c r="N8" s="28" t="s">
        <v>55</v>
      </c>
      <c r="O8">
        <v>685683</v>
      </c>
      <c r="P8">
        <v>685683</v>
      </c>
      <c r="Q8">
        <v>685683</v>
      </c>
      <c r="R8">
        <v>685683</v>
      </c>
    </row>
    <row r="9" spans="1:18" x14ac:dyDescent="0.3">
      <c r="A9" s="25" t="str">
        <f t="shared" si="0"/>
        <v>Восток</v>
      </c>
      <c r="B9" s="25" t="str">
        <f>Восток!A31</f>
        <v>Яблоки</v>
      </c>
      <c r="C9" s="25">
        <f>Восток!B31</f>
        <v>78</v>
      </c>
      <c r="D9" s="25">
        <f>Восток!C31</f>
        <v>35000</v>
      </c>
      <c r="E9" s="25">
        <f>Восток!D31</f>
        <v>8750</v>
      </c>
      <c r="F9" s="25">
        <f>Восток!E31</f>
        <v>2730000</v>
      </c>
      <c r="G9" s="25" t="str">
        <f>Восток!F31</f>
        <v>"ChinaKO TM"</v>
      </c>
      <c r="H9" s="26">
        <f>Восток!G31</f>
        <v>46074</v>
      </c>
      <c r="I9" s="26">
        <f>Восток!H31</f>
        <v>46074</v>
      </c>
      <c r="J9" s="26">
        <f>Восток!I31</f>
        <v>46078</v>
      </c>
      <c r="K9" s="25" t="str">
        <f>Восток!J31</f>
        <v>Дост. в срок</v>
      </c>
      <c r="L9" s="27">
        <f t="shared" si="1"/>
        <v>43750</v>
      </c>
    </row>
    <row r="10" spans="1:18" x14ac:dyDescent="0.3">
      <c r="A10" s="25" t="str">
        <f t="shared" si="0"/>
        <v>Восток</v>
      </c>
      <c r="B10" s="25" t="str">
        <f>Восток!A3</f>
        <v>Авокадо</v>
      </c>
      <c r="C10" s="25">
        <f>Восток!B3</f>
        <v>250</v>
      </c>
      <c r="D10" s="25">
        <f>Восток!C3</f>
        <v>10</v>
      </c>
      <c r="E10" s="25">
        <f>Восток!D3</f>
        <v>2</v>
      </c>
      <c r="F10" s="25">
        <f>Восток!E3</f>
        <v>2500</v>
      </c>
      <c r="G10" s="25" t="str">
        <f>Восток!F3</f>
        <v>"Japfruit ComLTD"</v>
      </c>
      <c r="H10" s="26">
        <f>Восток!G3</f>
        <v>46073</v>
      </c>
      <c r="I10" s="26">
        <f>Восток!H3</f>
        <v>46072</v>
      </c>
      <c r="J10" s="26">
        <f>Восток!I3</f>
        <v>46076</v>
      </c>
      <c r="K10" s="25" t="str">
        <f>Восток!J3</f>
        <v>Просрочена</v>
      </c>
      <c r="L10" s="27">
        <f t="shared" ref="L10:L73" si="2">D10+E10</f>
        <v>12</v>
      </c>
    </row>
    <row r="11" spans="1:18" x14ac:dyDescent="0.3">
      <c r="A11" s="25" t="str">
        <f t="shared" si="0"/>
        <v>Восток</v>
      </c>
      <c r="B11" s="25" t="str">
        <f>Восток!A17</f>
        <v>Пастернак</v>
      </c>
      <c r="C11" s="25">
        <f>Восток!B17</f>
        <v>125</v>
      </c>
      <c r="D11" s="25">
        <f>Восток!C17</f>
        <v>19</v>
      </c>
      <c r="E11" s="25">
        <f>Восток!D17</f>
        <v>4</v>
      </c>
      <c r="F11" s="25">
        <f>Восток!E17</f>
        <v>2375</v>
      </c>
      <c r="G11" s="25" t="str">
        <f>Восток!F17</f>
        <v>&lt;&lt;ООО&gt;&gt;"Зарница"</v>
      </c>
      <c r="H11" s="26">
        <f>Восток!G17</f>
        <v>46071</v>
      </c>
      <c r="I11" s="26">
        <f>Восток!H17</f>
        <v>46071</v>
      </c>
      <c r="J11" s="26">
        <f>Восток!I17</f>
        <v>46077</v>
      </c>
      <c r="K11" s="25" t="str">
        <f>Восток!J17</f>
        <v>Дост. в срок</v>
      </c>
      <c r="L11" s="27">
        <f t="shared" si="2"/>
        <v>23</v>
      </c>
    </row>
    <row r="12" spans="1:18" x14ac:dyDescent="0.3">
      <c r="A12" s="25" t="str">
        <f t="shared" si="0"/>
        <v>Восток</v>
      </c>
      <c r="B12" s="25" t="str">
        <f>Восток!A29</f>
        <v>Черешня</v>
      </c>
      <c r="C12" s="25">
        <f>Восток!B29</f>
        <v>190</v>
      </c>
      <c r="D12" s="25">
        <f>Восток!C29</f>
        <v>12</v>
      </c>
      <c r="E12" s="25">
        <f>Восток!D29</f>
        <v>3</v>
      </c>
      <c r="F12" s="25">
        <f>Восток!E29</f>
        <v>2280</v>
      </c>
      <c r="G12" s="25" t="str">
        <f>Восток!F29</f>
        <v>"ChinaKO TM"</v>
      </c>
      <c r="H12" s="26">
        <f>Восток!G29</f>
        <v>46074</v>
      </c>
      <c r="I12" s="26">
        <f>Восток!H29</f>
        <v>46074</v>
      </c>
      <c r="J12" s="26">
        <f>Восток!I29</f>
        <v>46076</v>
      </c>
      <c r="K12" s="25" t="str">
        <f>Восток!J29</f>
        <v>Дост. в срок</v>
      </c>
      <c r="L12" s="27">
        <f t="shared" si="2"/>
        <v>15</v>
      </c>
    </row>
    <row r="13" spans="1:18" x14ac:dyDescent="0.3">
      <c r="A13" s="25" t="str">
        <f t="shared" si="0"/>
        <v>Восток</v>
      </c>
      <c r="B13" s="25" t="str">
        <f>Восток!A5</f>
        <v>Батат</v>
      </c>
      <c r="C13" s="25">
        <f>Восток!B5</f>
        <v>142</v>
      </c>
      <c r="D13" s="25">
        <f>Восток!C5</f>
        <v>15</v>
      </c>
      <c r="E13" s="25">
        <f>Восток!D5</f>
        <v>3</v>
      </c>
      <c r="F13" s="25">
        <f>Восток!E5</f>
        <v>2130</v>
      </c>
      <c r="G13" s="25" t="str">
        <f>Восток!F5</f>
        <v>"Japfruit ComLTD"</v>
      </c>
      <c r="H13" s="26">
        <f>Восток!G5</f>
        <v>46073</v>
      </c>
      <c r="I13" s="26">
        <f>Восток!H5</f>
        <v>46072</v>
      </c>
      <c r="J13" s="26">
        <f>Восток!I5</f>
        <v>46076</v>
      </c>
      <c r="K13" s="25" t="str">
        <f>Восток!J5</f>
        <v>Просрочена</v>
      </c>
      <c r="L13" s="27">
        <f t="shared" si="2"/>
        <v>18</v>
      </c>
    </row>
    <row r="14" spans="1:18" x14ac:dyDescent="0.3">
      <c r="A14" s="25" t="str">
        <f t="shared" si="0"/>
        <v>Восток</v>
      </c>
      <c r="B14" s="25" t="str">
        <f>Восток!A4</f>
        <v>Баклажан</v>
      </c>
      <c r="C14" s="25">
        <f>Восток!B4</f>
        <v>110</v>
      </c>
      <c r="D14" s="25">
        <f>Восток!C4</f>
        <v>18</v>
      </c>
      <c r="E14" s="25">
        <f>Восток!D4</f>
        <v>4</v>
      </c>
      <c r="F14" s="25">
        <f>Восток!E4</f>
        <v>1980</v>
      </c>
      <c r="G14" s="25" t="str">
        <f>Восток!F4</f>
        <v>&lt;&lt;ООО&gt;&gt;"Зарница"</v>
      </c>
      <c r="H14" s="26">
        <f>Восток!G4</f>
        <v>46071</v>
      </c>
      <c r="I14" s="26">
        <f>Восток!H4</f>
        <v>46071</v>
      </c>
      <c r="J14" s="26">
        <f>Восток!I4</f>
        <v>46075</v>
      </c>
      <c r="K14" s="25" t="str">
        <f>Восток!J4</f>
        <v>Дост. в срок</v>
      </c>
      <c r="L14" s="27">
        <f t="shared" si="2"/>
        <v>22</v>
      </c>
    </row>
    <row r="15" spans="1:18" x14ac:dyDescent="0.3">
      <c r="A15" s="25" t="str">
        <f t="shared" si="0"/>
        <v>Восток</v>
      </c>
      <c r="B15" s="25" t="str">
        <f>Восток!A6</f>
        <v>Брокколи</v>
      </c>
      <c r="C15" s="25">
        <f>Восток!B6</f>
        <v>150</v>
      </c>
      <c r="D15" s="25">
        <f>Восток!C6</f>
        <v>13</v>
      </c>
      <c r="E15" s="25">
        <f>Восток!D6</f>
        <v>3</v>
      </c>
      <c r="F15" s="25">
        <f>Восток!E6</f>
        <v>1950</v>
      </c>
      <c r="G15" s="25" t="str">
        <f>Восток!F6</f>
        <v>&lt;&lt;ООО&gt;&gt;"Зарница"</v>
      </c>
      <c r="H15" s="26">
        <f>Восток!G6</f>
        <v>46071</v>
      </c>
      <c r="I15" s="26">
        <f>Восток!H6</f>
        <v>46071</v>
      </c>
      <c r="J15" s="26">
        <f>Восток!I6</f>
        <v>46073</v>
      </c>
      <c r="K15" s="25" t="str">
        <f>Восток!J6</f>
        <v>Дост. в срок</v>
      </c>
      <c r="L15" s="27">
        <f t="shared" si="2"/>
        <v>16</v>
      </c>
    </row>
    <row r="16" spans="1:18" x14ac:dyDescent="0.3">
      <c r="A16" s="25" t="str">
        <f t="shared" si="0"/>
        <v>Восток</v>
      </c>
      <c r="B16" s="25" t="str">
        <f>Восток!A14</f>
        <v>Кукуруза</v>
      </c>
      <c r="C16" s="25">
        <f>Восток!B14</f>
        <v>76</v>
      </c>
      <c r="D16" s="25">
        <f>Восток!C14</f>
        <v>25</v>
      </c>
      <c r="E16" s="25">
        <f>Восток!D14</f>
        <v>6</v>
      </c>
      <c r="F16" s="25">
        <f>Восток!E14</f>
        <v>1900</v>
      </c>
      <c r="G16" s="25" t="str">
        <f>Восток!F14</f>
        <v>&lt;&lt;ООО&gt;&gt;"Зарница"</v>
      </c>
      <c r="H16" s="26">
        <f>Восток!G14</f>
        <v>46071</v>
      </c>
      <c r="I16" s="26">
        <f>Восток!H14</f>
        <v>46071</v>
      </c>
      <c r="J16" s="26">
        <f>Восток!I14</f>
        <v>46077</v>
      </c>
      <c r="K16" s="25" t="str">
        <f>Восток!J14</f>
        <v>Дост. в срок</v>
      </c>
      <c r="L16" s="27">
        <f t="shared" si="2"/>
        <v>31</v>
      </c>
    </row>
    <row r="17" spans="1:12" x14ac:dyDescent="0.3">
      <c r="A17" s="25" t="str">
        <f t="shared" si="0"/>
        <v>Восток</v>
      </c>
      <c r="B17" s="25" t="str">
        <f>Восток!A7</f>
        <v>Брюква</v>
      </c>
      <c r="C17" s="25">
        <f>Восток!B7</f>
        <v>113</v>
      </c>
      <c r="D17" s="25">
        <f>Восток!C7</f>
        <v>16</v>
      </c>
      <c r="E17" s="25">
        <f>Восток!D7</f>
        <v>4</v>
      </c>
      <c r="F17" s="25">
        <f>Восток!E7</f>
        <v>1808</v>
      </c>
      <c r="G17" s="25" t="str">
        <f>Восток!F7</f>
        <v>&lt;&lt;ООО&gt;&gt;"Зарница"</v>
      </c>
      <c r="H17" s="26">
        <f>Восток!G7</f>
        <v>46071</v>
      </c>
      <c r="I17" s="26">
        <f>Восток!H7</f>
        <v>46071</v>
      </c>
      <c r="J17" s="26">
        <f>Восток!I7</f>
        <v>46073</v>
      </c>
      <c r="K17" s="25" t="str">
        <f>Восток!J7</f>
        <v>Дост. в срок</v>
      </c>
      <c r="L17" s="27">
        <f t="shared" si="2"/>
        <v>20</v>
      </c>
    </row>
    <row r="18" spans="1:12" x14ac:dyDescent="0.3">
      <c r="A18" s="25" t="str">
        <f t="shared" si="0"/>
        <v>Восток</v>
      </c>
      <c r="B18" s="25" t="str">
        <f>Восток!A19</f>
        <v>Персики</v>
      </c>
      <c r="C18" s="25">
        <f>Восток!B19</f>
        <v>100</v>
      </c>
      <c r="D18" s="25">
        <f>Восток!C19</f>
        <v>18</v>
      </c>
      <c r="E18" s="25">
        <f>Восток!D19</f>
        <v>4</v>
      </c>
      <c r="F18" s="25">
        <f>Восток!E19</f>
        <v>1800</v>
      </c>
      <c r="G18" s="25" t="str">
        <f>Восток!F19</f>
        <v>"ChinaKO TM"</v>
      </c>
      <c r="H18" s="26">
        <f>Восток!G19</f>
        <v>46074</v>
      </c>
      <c r="I18" s="26">
        <f>Восток!H19</f>
        <v>46074</v>
      </c>
      <c r="J18" s="26">
        <f>Восток!I19</f>
        <v>46075</v>
      </c>
      <c r="K18" s="25" t="str">
        <f>Восток!J19</f>
        <v>Дост. в срок</v>
      </c>
      <c r="L18" s="27">
        <f t="shared" si="2"/>
        <v>22</v>
      </c>
    </row>
    <row r="19" spans="1:12" x14ac:dyDescent="0.3">
      <c r="A19" s="25" t="str">
        <f t="shared" si="0"/>
        <v>Восток</v>
      </c>
      <c r="B19" s="25" t="str">
        <f>Восток!A26</f>
        <v>Спаржа</v>
      </c>
      <c r="C19" s="25">
        <f>Восток!B26</f>
        <v>163</v>
      </c>
      <c r="D19" s="25">
        <f>Восток!C26</f>
        <v>11</v>
      </c>
      <c r="E19" s="25">
        <f>Восток!D26</f>
        <v>2</v>
      </c>
      <c r="F19" s="25">
        <f>Восток!E26</f>
        <v>1793</v>
      </c>
      <c r="G19" s="25" t="str">
        <f>Восток!F26</f>
        <v>"Japfruit ComLTD"</v>
      </c>
      <c r="H19" s="26">
        <f>Восток!G26</f>
        <v>46073</v>
      </c>
      <c r="I19" s="26">
        <f>Восток!H26</f>
        <v>46072</v>
      </c>
      <c r="J19" s="26">
        <f>Восток!I26</f>
        <v>46075</v>
      </c>
      <c r="K19" s="25" t="str">
        <f>Восток!J26</f>
        <v>Просрочена</v>
      </c>
      <c r="L19" s="27">
        <f t="shared" si="2"/>
        <v>13</v>
      </c>
    </row>
    <row r="20" spans="1:12" x14ac:dyDescent="0.3">
      <c r="A20" s="25" t="str">
        <f t="shared" si="0"/>
        <v>Восток</v>
      </c>
      <c r="B20" s="25" t="str">
        <f>Восток!A10</f>
        <v>Дайкон</v>
      </c>
      <c r="C20" s="25">
        <f>Восток!B10</f>
        <v>130</v>
      </c>
      <c r="D20" s="25">
        <f>Восток!C10</f>
        <v>12</v>
      </c>
      <c r="E20" s="25">
        <f>Восток!D10</f>
        <v>3</v>
      </c>
      <c r="F20" s="25">
        <f>Восток!E10</f>
        <v>1560</v>
      </c>
      <c r="G20" s="25" t="str">
        <f>Восток!F10</f>
        <v>"Japfruit ComLTD"</v>
      </c>
      <c r="H20" s="26">
        <f>Восток!G10</f>
        <v>46073</v>
      </c>
      <c r="I20" s="26">
        <f>Восток!H10</f>
        <v>46072</v>
      </c>
      <c r="J20" s="26">
        <f>Восток!I10</f>
        <v>46076</v>
      </c>
      <c r="K20" s="25" t="str">
        <f>Восток!J10</f>
        <v>Просрочена</v>
      </c>
      <c r="L20" s="27">
        <f t="shared" si="2"/>
        <v>15</v>
      </c>
    </row>
    <row r="21" spans="1:12" x14ac:dyDescent="0.3">
      <c r="A21" s="25" t="str">
        <f t="shared" si="0"/>
        <v>Восток</v>
      </c>
      <c r="B21" s="25" t="str">
        <f>Восток!A23</f>
        <v>Репа</v>
      </c>
      <c r="C21" s="25">
        <f>Восток!B23</f>
        <v>82</v>
      </c>
      <c r="D21" s="25">
        <f>Восток!C23</f>
        <v>19</v>
      </c>
      <c r="E21" s="25">
        <f>Восток!D23</f>
        <v>4</v>
      </c>
      <c r="F21" s="25">
        <f>Восток!E23</f>
        <v>1558</v>
      </c>
      <c r="G21" s="25" t="str">
        <f>Восток!F23</f>
        <v>&lt;&lt;ООО&gt;&gt;"Зарница"</v>
      </c>
      <c r="H21" s="26">
        <f>Восток!G23</f>
        <v>46071</v>
      </c>
      <c r="I21" s="26">
        <f>Восток!H23</f>
        <v>46071</v>
      </c>
      <c r="J21" s="26">
        <f>Восток!I23</f>
        <v>46077</v>
      </c>
      <c r="K21" s="25" t="str">
        <f>Восток!J23</f>
        <v>Дост. в срок</v>
      </c>
      <c r="L21" s="27">
        <f t="shared" si="2"/>
        <v>23</v>
      </c>
    </row>
    <row r="22" spans="1:12" x14ac:dyDescent="0.3">
      <c r="A22" s="25" t="str">
        <f t="shared" si="0"/>
        <v>Восток</v>
      </c>
      <c r="B22" s="25" t="str">
        <f>Восток!A18</f>
        <v>Патиссон</v>
      </c>
      <c r="C22" s="25">
        <f>Восток!B18</f>
        <v>96</v>
      </c>
      <c r="D22" s="25">
        <f>Восток!C18</f>
        <v>16</v>
      </c>
      <c r="E22" s="25">
        <f>Восток!D18</f>
        <v>4</v>
      </c>
      <c r="F22" s="25">
        <f>Восток!E18</f>
        <v>1536</v>
      </c>
      <c r="G22" s="25" t="str">
        <f>Восток!F18</f>
        <v>&lt;&lt;ООО&gt;&gt;"Зарница"</v>
      </c>
      <c r="H22" s="26">
        <f>Восток!G18</f>
        <v>46071</v>
      </c>
      <c r="I22" s="26">
        <f>Восток!H18</f>
        <v>46071</v>
      </c>
      <c r="J22" s="26">
        <f>Восток!I18</f>
        <v>46073</v>
      </c>
      <c r="K22" s="25" t="str">
        <f>Восток!J18</f>
        <v>Дост. в срок</v>
      </c>
      <c r="L22" s="27">
        <f t="shared" si="2"/>
        <v>20</v>
      </c>
    </row>
    <row r="23" spans="1:12" x14ac:dyDescent="0.3">
      <c r="A23" s="25" t="str">
        <f t="shared" si="0"/>
        <v>Восток</v>
      </c>
      <c r="B23" s="25" t="str">
        <f>Восток!A21</f>
        <v>Редис</v>
      </c>
      <c r="C23" s="25">
        <f>Восток!B21</f>
        <v>95</v>
      </c>
      <c r="D23" s="25">
        <f>Восток!C21</f>
        <v>16</v>
      </c>
      <c r="E23" s="25">
        <f>Восток!D21</f>
        <v>4</v>
      </c>
      <c r="F23" s="25">
        <f>Восток!E21</f>
        <v>1520</v>
      </c>
      <c r="G23" s="25" t="str">
        <f>Восток!F21</f>
        <v>&lt;&lt;ООО&gt;&gt;"Зарница"</v>
      </c>
      <c r="H23" s="26">
        <f>Восток!G21</f>
        <v>46071</v>
      </c>
      <c r="I23" s="26">
        <f>Восток!H21</f>
        <v>46071</v>
      </c>
      <c r="J23" s="26">
        <f>Восток!I21</f>
        <v>46072</v>
      </c>
      <c r="K23" s="25" t="str">
        <f>Восток!J21</f>
        <v>Дост. в срок</v>
      </c>
      <c r="L23" s="27">
        <f t="shared" si="2"/>
        <v>20</v>
      </c>
    </row>
    <row r="24" spans="1:12" x14ac:dyDescent="0.3">
      <c r="A24" s="25" t="str">
        <f t="shared" si="0"/>
        <v>Восток</v>
      </c>
      <c r="B24" s="25" t="str">
        <f>Восток!A9</f>
        <v>Груши</v>
      </c>
      <c r="C24" s="25">
        <f>Восток!B9</f>
        <v>120</v>
      </c>
      <c r="D24" s="25">
        <f>Восток!C9</f>
        <v>12</v>
      </c>
      <c r="E24" s="25">
        <f>Восток!D9</f>
        <v>3</v>
      </c>
      <c r="F24" s="25">
        <f>Восток!E9</f>
        <v>1440</v>
      </c>
      <c r="G24" s="25" t="str">
        <f>Восток!F9</f>
        <v>"ChinaKO TM"</v>
      </c>
      <c r="H24" s="26">
        <f>Восток!G9</f>
        <v>46074</v>
      </c>
      <c r="I24" s="26">
        <f>Восток!H9</f>
        <v>46074</v>
      </c>
      <c r="J24" s="26">
        <f>Восток!I9</f>
        <v>46075</v>
      </c>
      <c r="K24" s="25" t="str">
        <f>Восток!J9</f>
        <v>Дост. в срок</v>
      </c>
      <c r="L24" s="27">
        <f t="shared" si="2"/>
        <v>15</v>
      </c>
    </row>
    <row r="25" spans="1:12" x14ac:dyDescent="0.3">
      <c r="A25" s="25" t="str">
        <f t="shared" si="0"/>
        <v>Восток</v>
      </c>
      <c r="B25" s="25" t="str">
        <f>Восток!A27</f>
        <v>Топинамбур</v>
      </c>
      <c r="C25" s="25">
        <f>Восток!B27</f>
        <v>105</v>
      </c>
      <c r="D25" s="25">
        <f>Восток!C27</f>
        <v>13</v>
      </c>
      <c r="E25" s="25">
        <f>Восток!D27</f>
        <v>3</v>
      </c>
      <c r="F25" s="25">
        <f>Восток!E27</f>
        <v>1365</v>
      </c>
      <c r="G25" s="25" t="str">
        <f>Восток!F27</f>
        <v>"Japfruit ComLTD"</v>
      </c>
      <c r="H25" s="26">
        <f>Восток!G27</f>
        <v>46073</v>
      </c>
      <c r="I25" s="26">
        <f>Восток!H27</f>
        <v>46072</v>
      </c>
      <c r="J25" s="26">
        <f>Восток!I27</f>
        <v>46077</v>
      </c>
      <c r="K25" s="25" t="str">
        <f>Восток!J27</f>
        <v>Просрочена</v>
      </c>
      <c r="L25" s="27">
        <f t="shared" si="2"/>
        <v>16</v>
      </c>
    </row>
    <row r="26" spans="1:12" x14ac:dyDescent="0.3">
      <c r="A26" s="25" t="str">
        <f t="shared" si="0"/>
        <v>Восток</v>
      </c>
      <c r="B26" s="25" t="str">
        <f>Восток!A13</f>
        <v>Кольраби</v>
      </c>
      <c r="C26" s="25">
        <f>Восток!B13</f>
        <v>163</v>
      </c>
      <c r="D26" s="25">
        <f>Восток!C13</f>
        <v>8</v>
      </c>
      <c r="E26" s="25">
        <f>Восток!D13</f>
        <v>2</v>
      </c>
      <c r="F26" s="25">
        <f>Восток!E13</f>
        <v>1304</v>
      </c>
      <c r="G26" s="25" t="str">
        <f>Восток!F13</f>
        <v>"Japfruit ComLTD"</v>
      </c>
      <c r="H26" s="26">
        <f>Восток!G13</f>
        <v>46073</v>
      </c>
      <c r="I26" s="26">
        <f>Восток!H13</f>
        <v>46072</v>
      </c>
      <c r="J26" s="26">
        <f>Восток!I13</f>
        <v>46074</v>
      </c>
      <c r="K26" s="25" t="str">
        <f>Восток!J13</f>
        <v>Просрочена</v>
      </c>
      <c r="L26" s="27">
        <f t="shared" si="2"/>
        <v>10</v>
      </c>
    </row>
    <row r="27" spans="1:12" x14ac:dyDescent="0.3">
      <c r="A27" s="25" t="str">
        <f t="shared" si="0"/>
        <v>Восток</v>
      </c>
      <c r="B27" s="25" t="str">
        <f>Восток!A11</f>
        <v>Капуста</v>
      </c>
      <c r="C27" s="25">
        <f>Восток!B11</f>
        <v>76</v>
      </c>
      <c r="D27" s="25">
        <f>Восток!C11</f>
        <v>17</v>
      </c>
      <c r="E27" s="25">
        <f>Восток!D11</f>
        <v>4</v>
      </c>
      <c r="F27" s="25">
        <f>Восток!E11</f>
        <v>1292</v>
      </c>
      <c r="G27" s="25" t="str">
        <f>Восток!F11</f>
        <v>&lt;&lt;ООО&gt;&gt;"Зарница"</v>
      </c>
      <c r="H27" s="26">
        <f>Восток!G11</f>
        <v>46071</v>
      </c>
      <c r="I27" s="26">
        <f>Восток!H11</f>
        <v>46071</v>
      </c>
      <c r="J27" s="26">
        <f>Восток!I11</f>
        <v>46077</v>
      </c>
      <c r="K27" s="25" t="str">
        <f>Восток!J11</f>
        <v>Дост. в срок</v>
      </c>
      <c r="L27" s="27">
        <f t="shared" si="2"/>
        <v>21</v>
      </c>
    </row>
    <row r="28" spans="1:12" x14ac:dyDescent="0.3">
      <c r="A28" s="25" t="str">
        <f t="shared" si="0"/>
        <v>Восток</v>
      </c>
      <c r="B28" s="25" t="str">
        <f>Восток!A30</f>
        <v>Чеснок</v>
      </c>
      <c r="C28" s="25">
        <f>Восток!B30</f>
        <v>42</v>
      </c>
      <c r="D28" s="25">
        <f>Восток!C30</f>
        <v>30</v>
      </c>
      <c r="E28" s="25">
        <f>Восток!D30</f>
        <v>7</v>
      </c>
      <c r="F28" s="25">
        <f>Восток!E30</f>
        <v>1260</v>
      </c>
      <c r="G28" s="25" t="str">
        <f>Восток!F30</f>
        <v>&lt;&lt;ООО&gt;&gt;"Зарница"</v>
      </c>
      <c r="H28" s="26">
        <f>Восток!G30</f>
        <v>46071</v>
      </c>
      <c r="I28" s="26">
        <f>Восток!H30</f>
        <v>46071</v>
      </c>
      <c r="J28" s="26">
        <f>Восток!I30</f>
        <v>46077</v>
      </c>
      <c r="K28" s="25" t="str">
        <f>Восток!J30</f>
        <v>Дост. в срок</v>
      </c>
      <c r="L28" s="27">
        <f t="shared" si="2"/>
        <v>37</v>
      </c>
    </row>
    <row r="29" spans="1:12" x14ac:dyDescent="0.3">
      <c r="A29" s="25" t="str">
        <f t="shared" si="0"/>
        <v>Восток</v>
      </c>
      <c r="B29" s="25" t="str">
        <f>Восток!A22</f>
        <v>Редька</v>
      </c>
      <c r="C29" s="25">
        <f>Восток!B22</f>
        <v>90</v>
      </c>
      <c r="D29" s="25">
        <f>Восток!C22</f>
        <v>12</v>
      </c>
      <c r="E29" s="25">
        <f>Восток!D22</f>
        <v>3</v>
      </c>
      <c r="F29" s="25">
        <f>Восток!E22</f>
        <v>1080</v>
      </c>
      <c r="G29" s="25" t="str">
        <f>Восток!F22</f>
        <v>&lt;&lt;ООО&gt;&gt;"Зарница"</v>
      </c>
      <c r="H29" s="26">
        <f>Восток!G22</f>
        <v>46071</v>
      </c>
      <c r="I29" s="26">
        <f>Восток!H22</f>
        <v>46071</v>
      </c>
      <c r="J29" s="26">
        <f>Восток!I22</f>
        <v>46078</v>
      </c>
      <c r="K29" s="25" t="str">
        <f>Восток!J22</f>
        <v>Дост. в срок</v>
      </c>
      <c r="L29" s="27">
        <f t="shared" si="2"/>
        <v>15</v>
      </c>
    </row>
    <row r="30" spans="1:12" x14ac:dyDescent="0.3">
      <c r="A30" s="25" t="str">
        <f t="shared" si="0"/>
        <v>Восток</v>
      </c>
      <c r="B30" s="25" t="str">
        <f>Восток!A8</f>
        <v>Горох</v>
      </c>
      <c r="C30" s="25">
        <f>Восток!B8</f>
        <v>102</v>
      </c>
      <c r="D30" s="25">
        <f>Восток!C8</f>
        <v>10</v>
      </c>
      <c r="E30" s="25">
        <f>Восток!D8</f>
        <v>2</v>
      </c>
      <c r="F30" s="25">
        <f>Восток!E8</f>
        <v>1020</v>
      </c>
      <c r="G30" s="25" t="str">
        <f>Восток!F8</f>
        <v>&lt;&lt;ООО&gt;&gt;"Зарница"</v>
      </c>
      <c r="H30" s="26">
        <f>Восток!G8</f>
        <v>46071</v>
      </c>
      <c r="I30" s="26">
        <f>Восток!H8</f>
        <v>46071</v>
      </c>
      <c r="J30" s="26">
        <f>Восток!I8</f>
        <v>46073</v>
      </c>
      <c r="K30" s="25" t="str">
        <f>Восток!J8</f>
        <v>Дост. в срок</v>
      </c>
      <c r="L30" s="27">
        <f t="shared" si="2"/>
        <v>12</v>
      </c>
    </row>
    <row r="31" spans="1:12" x14ac:dyDescent="0.3">
      <c r="A31" s="25" t="str">
        <f t="shared" si="0"/>
        <v>Восток</v>
      </c>
      <c r="B31" s="25" t="str">
        <f>Восток!A25</f>
        <v>Сельдерей</v>
      </c>
      <c r="C31" s="25">
        <f>Восток!B25</f>
        <v>120</v>
      </c>
      <c r="D31" s="25">
        <f>Восток!C25</f>
        <v>2</v>
      </c>
      <c r="E31" s="25">
        <f>Восток!D25</f>
        <v>0</v>
      </c>
      <c r="F31" s="25">
        <f>Восток!E25</f>
        <v>240</v>
      </c>
      <c r="G31" s="25" t="str">
        <f>Восток!F25</f>
        <v>"Japfruit ComLTD"</v>
      </c>
      <c r="H31" s="26">
        <f>Восток!G25</f>
        <v>46073</v>
      </c>
      <c r="I31" s="26">
        <f>Восток!H25</f>
        <v>46072</v>
      </c>
      <c r="J31" s="26">
        <f>Восток!I25</f>
        <v>46076</v>
      </c>
      <c r="K31" s="25" t="str">
        <f>Восток!J25</f>
        <v>Просрочена</v>
      </c>
      <c r="L31" s="27">
        <f t="shared" si="2"/>
        <v>2</v>
      </c>
    </row>
    <row r="32" spans="1:12" x14ac:dyDescent="0.3">
      <c r="A32" s="25" t="str">
        <f t="shared" ref="A32:A61" si="3">"Запад"</f>
        <v>Запад</v>
      </c>
      <c r="B32" s="25" t="str">
        <f>Запад!A12</f>
        <v>Картофель</v>
      </c>
      <c r="C32" s="25">
        <f>Запад!B12</f>
        <v>65</v>
      </c>
      <c r="D32" s="25">
        <f>Запад!C12</f>
        <v>180</v>
      </c>
      <c r="E32" s="25">
        <f>Запад!D12</f>
        <v>45</v>
      </c>
      <c r="F32" s="25">
        <f>Запад!E12</f>
        <v>11700</v>
      </c>
      <c r="G32" s="25" t="str">
        <f>Запад!F12</f>
        <v>&lt;&lt;ООО&gt;&gt;"Зарница"</v>
      </c>
      <c r="H32" s="26">
        <f>Запад!G12</f>
        <v>46070</v>
      </c>
      <c r="I32" s="26">
        <f>Запад!H12</f>
        <v>46070</v>
      </c>
      <c r="J32" s="26">
        <f>Запад!I12</f>
        <v>46076</v>
      </c>
      <c r="K32" s="25" t="str">
        <f>Запад!J12</f>
        <v>Дост. в срок</v>
      </c>
      <c r="L32" s="27">
        <f t="shared" si="2"/>
        <v>225</v>
      </c>
    </row>
    <row r="33" spans="1:15" x14ac:dyDescent="0.3">
      <c r="A33" s="25" t="str">
        <f t="shared" si="3"/>
        <v>Запад</v>
      </c>
      <c r="B33" s="25" t="str">
        <f>Запад!A20</f>
        <v>Помидоры</v>
      </c>
      <c r="C33" s="25">
        <f>Запад!B20</f>
        <v>110</v>
      </c>
      <c r="D33" s="25">
        <f>Запад!C20</f>
        <v>50</v>
      </c>
      <c r="E33" s="25">
        <f>Запад!D20</f>
        <v>12</v>
      </c>
      <c r="F33" s="25">
        <f>Запад!E20</f>
        <v>5500</v>
      </c>
      <c r="G33" s="25" t="str">
        <f>Запад!F20</f>
        <v>&lt;&lt;ООО&gt;&gt;"Зарница"</v>
      </c>
      <c r="H33" s="26">
        <f>Запад!G20</f>
        <v>46070</v>
      </c>
      <c r="I33" s="26">
        <f>Запад!H20</f>
        <v>46070</v>
      </c>
      <c r="J33" s="26">
        <f>Запад!I20</f>
        <v>46072</v>
      </c>
      <c r="K33" s="25" t="str">
        <f>Запад!J20</f>
        <v>Дост. в срок</v>
      </c>
      <c r="L33" s="27">
        <f t="shared" si="2"/>
        <v>62</v>
      </c>
    </row>
    <row r="34" spans="1:15" x14ac:dyDescent="0.3">
      <c r="A34" s="25" t="str">
        <f t="shared" si="3"/>
        <v>Запад</v>
      </c>
      <c r="B34" s="25" t="str">
        <f>Запад!A16</f>
        <v>Огурцы</v>
      </c>
      <c r="C34" s="25">
        <f>Запад!B16</f>
        <v>90</v>
      </c>
      <c r="D34" s="25">
        <f>Запад!C16</f>
        <v>60</v>
      </c>
      <c r="E34" s="25">
        <f>Запад!D16</f>
        <v>15</v>
      </c>
      <c r="F34" s="25">
        <f>Запад!E16</f>
        <v>5400</v>
      </c>
      <c r="G34" s="25" t="str">
        <f>Запад!F16</f>
        <v>&lt;&lt;ООО&gt;&gt;"Зарница"</v>
      </c>
      <c r="H34" s="26">
        <f>Запад!G16</f>
        <v>46070</v>
      </c>
      <c r="I34" s="26">
        <f>Запад!H16</f>
        <v>46070</v>
      </c>
      <c r="J34" s="26">
        <f>Запад!I16</f>
        <v>46072</v>
      </c>
      <c r="K34" s="25" t="str">
        <f>Запад!J16</f>
        <v>Дост. в срок</v>
      </c>
      <c r="L34" s="27">
        <f t="shared" si="2"/>
        <v>75</v>
      </c>
    </row>
    <row r="35" spans="1:15" x14ac:dyDescent="0.3">
      <c r="A35" s="25" t="str">
        <f t="shared" si="3"/>
        <v>Запад</v>
      </c>
      <c r="B35" s="25" t="str">
        <f>Запад!A2</f>
        <v>Абрикосы</v>
      </c>
      <c r="C35" s="25">
        <f>Запад!B2</f>
        <v>180</v>
      </c>
      <c r="D35" s="25">
        <f>Запад!C2</f>
        <v>20</v>
      </c>
      <c r="E35" s="25">
        <f>Запад!D2</f>
        <v>5</v>
      </c>
      <c r="F35" s="25">
        <f>Запад!E2</f>
        <v>3600</v>
      </c>
      <c r="G35" s="25" t="str">
        <f>Запад!F2</f>
        <v>"ChinaKO TM"</v>
      </c>
      <c r="H35" s="26">
        <f>Запад!G2</f>
        <v>46073</v>
      </c>
      <c r="I35" s="26">
        <f>Запад!H2</f>
        <v>46071</v>
      </c>
      <c r="J35" s="26">
        <f>Запад!I2</f>
        <v>46076</v>
      </c>
      <c r="K35" s="25" t="str">
        <f>Запад!J2</f>
        <v>Просрочена</v>
      </c>
      <c r="L35" s="27">
        <f t="shared" si="2"/>
        <v>25</v>
      </c>
    </row>
    <row r="36" spans="1:15" x14ac:dyDescent="0.3">
      <c r="A36" s="25" t="str">
        <f t="shared" si="3"/>
        <v>Запад</v>
      </c>
      <c r="B36" s="25" t="str">
        <f>Запад!A31</f>
        <v>Яблоки</v>
      </c>
      <c r="C36" s="25">
        <f>Запад!B31</f>
        <v>78</v>
      </c>
      <c r="D36" s="25">
        <f>Запад!C31</f>
        <v>40</v>
      </c>
      <c r="E36" s="25">
        <f>Запад!D31</f>
        <v>10</v>
      </c>
      <c r="F36" s="25">
        <f>Запад!E31</f>
        <v>3120</v>
      </c>
      <c r="G36" s="25" t="str">
        <f>Запад!F31</f>
        <v>"ChinaKO TM"</v>
      </c>
      <c r="H36" s="26">
        <f>Запад!G31</f>
        <v>46073</v>
      </c>
      <c r="I36" s="26">
        <f>Запад!H31</f>
        <v>46071</v>
      </c>
      <c r="J36" s="26">
        <f>Запад!I31</f>
        <v>46078</v>
      </c>
      <c r="K36" s="25" t="str">
        <f>Запад!J31</f>
        <v>Просрочена</v>
      </c>
      <c r="L36" s="27">
        <f t="shared" si="2"/>
        <v>50</v>
      </c>
    </row>
    <row r="37" spans="1:15" x14ac:dyDescent="0.3">
      <c r="A37" s="25" t="str">
        <f t="shared" si="3"/>
        <v>Запад</v>
      </c>
      <c r="B37" s="25" t="str">
        <f>Запад!A15</f>
        <v>Морковь</v>
      </c>
      <c r="C37" s="25">
        <f>Запад!B15</f>
        <v>100</v>
      </c>
      <c r="D37" s="25">
        <f>Запад!C15</f>
        <v>30</v>
      </c>
      <c r="E37" s="25">
        <f>Запад!D15</f>
        <v>7</v>
      </c>
      <c r="F37" s="25">
        <f>Запад!E15</f>
        <v>3000</v>
      </c>
      <c r="G37" s="25" t="str">
        <f>Запад!F15</f>
        <v>&lt;&lt;ООО&gt;&gt;"Зарница"</v>
      </c>
      <c r="H37" s="26">
        <f>Запад!G15</f>
        <v>46070</v>
      </c>
      <c r="I37" s="26">
        <f>Запад!H15</f>
        <v>46070</v>
      </c>
      <c r="J37" s="26">
        <f>Запад!I15</f>
        <v>46073</v>
      </c>
      <c r="K37" s="25" t="str">
        <f>Запад!J15</f>
        <v>Дост. в срок</v>
      </c>
      <c r="L37" s="27">
        <f t="shared" si="2"/>
        <v>37</v>
      </c>
    </row>
    <row r="38" spans="1:15" x14ac:dyDescent="0.3">
      <c r="A38" s="25" t="str">
        <f t="shared" si="3"/>
        <v>Запад</v>
      </c>
      <c r="B38" s="25" t="str">
        <f>Запад!A29</f>
        <v>Черешня</v>
      </c>
      <c r="C38" s="25">
        <f>Запад!B29</f>
        <v>220</v>
      </c>
      <c r="D38" s="25">
        <f>Запад!C29</f>
        <v>12</v>
      </c>
      <c r="E38" s="25">
        <f>Запад!D29</f>
        <v>3</v>
      </c>
      <c r="F38" s="25">
        <f>Запад!E29</f>
        <v>2640</v>
      </c>
      <c r="G38" s="25" t="str">
        <f>Запад!F29</f>
        <v>"ChinaKO TM"</v>
      </c>
      <c r="H38" s="26">
        <f>Запад!G29</f>
        <v>46073</v>
      </c>
      <c r="I38" s="26">
        <f>Запад!H29</f>
        <v>46071</v>
      </c>
      <c r="J38" s="26">
        <f>Запад!I29</f>
        <v>46075</v>
      </c>
      <c r="K38" s="25" t="str">
        <f>Запад!J29</f>
        <v>Просрочена</v>
      </c>
      <c r="L38" s="27">
        <f t="shared" si="2"/>
        <v>15</v>
      </c>
    </row>
    <row r="39" spans="1:15" x14ac:dyDescent="0.3">
      <c r="A39" s="25" t="str">
        <f t="shared" si="3"/>
        <v>Запад</v>
      </c>
      <c r="B39" s="25" t="str">
        <f>Запад!A17</f>
        <v>Пастернак</v>
      </c>
      <c r="C39" s="25">
        <f>Запад!B17</f>
        <v>125</v>
      </c>
      <c r="D39" s="25">
        <f>Запад!C17</f>
        <v>20</v>
      </c>
      <c r="E39" s="25">
        <f>Запад!D17</f>
        <v>5</v>
      </c>
      <c r="F39" s="25">
        <f>Запад!E17</f>
        <v>2500</v>
      </c>
      <c r="G39" s="25" t="str">
        <f>Запад!F17</f>
        <v>&lt;&lt;ООО&gt;&gt;"Зарница"</v>
      </c>
      <c r="H39" s="26">
        <f>Запад!G17</f>
        <v>46070</v>
      </c>
      <c r="I39" s="26">
        <f>Запад!H17</f>
        <v>46070</v>
      </c>
      <c r="J39" s="26">
        <f>Запад!I17</f>
        <v>46077</v>
      </c>
      <c r="K39" s="25" t="str">
        <f>Запад!J17</f>
        <v>Дост. в срок</v>
      </c>
      <c r="L39" s="27">
        <f t="shared" si="2"/>
        <v>25</v>
      </c>
    </row>
    <row r="40" spans="1:15" x14ac:dyDescent="0.3">
      <c r="A40" s="25" t="str">
        <f t="shared" si="3"/>
        <v>Запад</v>
      </c>
      <c r="B40" s="25" t="str">
        <f>Запад!A24</f>
        <v>Свекла</v>
      </c>
      <c r="C40" s="25">
        <f>Запад!B24</f>
        <v>78</v>
      </c>
      <c r="D40" s="25">
        <f>Запад!C24</f>
        <v>30</v>
      </c>
      <c r="E40" s="25">
        <f>Запад!D24</f>
        <v>7</v>
      </c>
      <c r="F40" s="25">
        <f>Запад!E24</f>
        <v>2340</v>
      </c>
      <c r="G40" s="25" t="str">
        <f>Запад!F24</f>
        <v>&lt;&lt;ООО&gt;&gt;"Зарница"</v>
      </c>
      <c r="H40" s="26">
        <f>Запад!G24</f>
        <v>46070</v>
      </c>
      <c r="I40" s="26">
        <f>Запад!H24</f>
        <v>46070</v>
      </c>
      <c r="J40" s="26">
        <f>Запад!I24</f>
        <v>46072</v>
      </c>
      <c r="K40" s="25" t="str">
        <f>Запад!J24</f>
        <v>Дост. в срок</v>
      </c>
      <c r="L40" s="27">
        <f t="shared" si="2"/>
        <v>37</v>
      </c>
    </row>
    <row r="41" spans="1:15" x14ac:dyDescent="0.3">
      <c r="A41" s="25" t="str">
        <f t="shared" si="3"/>
        <v>Запад</v>
      </c>
      <c r="B41" s="25" t="str">
        <f>Запад!A4</f>
        <v>Баклажан</v>
      </c>
      <c r="C41" s="25">
        <f>Запад!B4</f>
        <v>120</v>
      </c>
      <c r="D41" s="25">
        <f>Запад!C4</f>
        <v>18</v>
      </c>
      <c r="E41" s="25">
        <f>Запад!D4</f>
        <v>4</v>
      </c>
      <c r="F41" s="25">
        <f>Запад!E4</f>
        <v>2160</v>
      </c>
      <c r="G41" s="25" t="str">
        <f>Запад!F4</f>
        <v>&lt;&lt;ООО&gt;&gt;"Зарница"</v>
      </c>
      <c r="H41" s="26">
        <f>Запад!G4</f>
        <v>46070</v>
      </c>
      <c r="I41" s="26">
        <f>Запад!H4</f>
        <v>46070</v>
      </c>
      <c r="J41" s="26">
        <f>Запад!I4</f>
        <v>46079</v>
      </c>
      <c r="K41" s="25" t="str">
        <f>Запад!J4</f>
        <v>Дост. в срок</v>
      </c>
      <c r="L41" s="27">
        <f t="shared" si="2"/>
        <v>22</v>
      </c>
    </row>
    <row r="42" spans="1:15" x14ac:dyDescent="0.3">
      <c r="A42" s="25" t="str">
        <f t="shared" si="3"/>
        <v>Запад</v>
      </c>
      <c r="B42" s="25" t="str">
        <f>Запад!A8</f>
        <v>Горох</v>
      </c>
      <c r="C42" s="25">
        <f>Запад!B8</f>
        <v>120</v>
      </c>
      <c r="D42" s="25">
        <f>Запад!C8</f>
        <v>17</v>
      </c>
      <c r="E42" s="25">
        <f>Запад!D8</f>
        <v>4</v>
      </c>
      <c r="F42" s="25">
        <f>Запад!E8</f>
        <v>2040</v>
      </c>
      <c r="G42" s="25" t="str">
        <f>Запад!F8</f>
        <v>&lt;&lt;ООО&gt;&gt;"Зарница"</v>
      </c>
      <c r="H42" s="26">
        <f>Запад!G8</f>
        <v>46070</v>
      </c>
      <c r="I42" s="26">
        <f>Запад!H8</f>
        <v>46070</v>
      </c>
      <c r="J42" s="26">
        <f>Запад!I8</f>
        <v>46073</v>
      </c>
      <c r="K42" s="25" t="str">
        <f>Запад!J8</f>
        <v>Дост. в срок</v>
      </c>
      <c r="L42" s="27">
        <f t="shared" si="2"/>
        <v>21</v>
      </c>
    </row>
    <row r="43" spans="1:15" x14ac:dyDescent="0.3">
      <c r="A43" s="25" t="str">
        <f t="shared" si="3"/>
        <v>Запад</v>
      </c>
      <c r="B43" s="25" t="str">
        <f>Запад!A7</f>
        <v>Брюква</v>
      </c>
      <c r="C43" s="25">
        <f>Запад!B7</f>
        <v>123</v>
      </c>
      <c r="D43" s="25">
        <f>Запад!C7</f>
        <v>16</v>
      </c>
      <c r="E43" s="25">
        <f>Запад!D7</f>
        <v>4</v>
      </c>
      <c r="F43" s="25">
        <f>Запад!E7</f>
        <v>1968</v>
      </c>
      <c r="G43" s="25" t="str">
        <f>Запад!F7</f>
        <v>&lt;&lt;ООО&gt;&gt;"Зарница"</v>
      </c>
      <c r="H43" s="26">
        <f>Запад!G7</f>
        <v>46070</v>
      </c>
      <c r="I43" s="26">
        <f>Запад!H7</f>
        <v>46070</v>
      </c>
      <c r="J43" s="26">
        <f>Запад!I7</f>
        <v>46073</v>
      </c>
      <c r="K43" s="25" t="str">
        <f>Запад!J7</f>
        <v>Дост. в срок</v>
      </c>
      <c r="L43" s="27">
        <f t="shared" si="2"/>
        <v>20</v>
      </c>
      <c r="N43" t="s">
        <v>46</v>
      </c>
      <c r="O43" t="s">
        <v>47</v>
      </c>
    </row>
    <row r="44" spans="1:15" x14ac:dyDescent="0.3">
      <c r="A44" s="25" t="str">
        <f t="shared" si="3"/>
        <v>Запад</v>
      </c>
      <c r="B44" s="25" t="str">
        <f>Запад!A14</f>
        <v>Кукуруза</v>
      </c>
      <c r="C44" s="25">
        <f>Запад!B14</f>
        <v>78</v>
      </c>
      <c r="D44" s="25">
        <f>Запад!C14</f>
        <v>25</v>
      </c>
      <c r="E44" s="25">
        <f>Запад!D14</f>
        <v>6</v>
      </c>
      <c r="F44" s="25">
        <f>Запад!E14</f>
        <v>1950</v>
      </c>
      <c r="G44" s="25" t="str">
        <f>Запад!F14</f>
        <v>&lt;&lt;ООО&gt;&gt;"Зарница"</v>
      </c>
      <c r="H44" s="26">
        <f>Запад!G14</f>
        <v>46070</v>
      </c>
      <c r="I44" s="26">
        <f>Запад!H14</f>
        <v>46070</v>
      </c>
      <c r="J44" s="26">
        <f>Запад!I14</f>
        <v>46077</v>
      </c>
      <c r="K44" s="25" t="str">
        <f>Запад!J14</f>
        <v>Дост. в срок</v>
      </c>
      <c r="L44" s="27">
        <f t="shared" si="2"/>
        <v>31</v>
      </c>
      <c r="N44" s="28" t="s">
        <v>30</v>
      </c>
      <c r="O44">
        <v>54500</v>
      </c>
    </row>
    <row r="45" spans="1:15" x14ac:dyDescent="0.3">
      <c r="A45" s="25" t="str">
        <f t="shared" si="3"/>
        <v>Запад</v>
      </c>
      <c r="B45" s="25" t="str">
        <f>Запад!A10</f>
        <v>Дайкон</v>
      </c>
      <c r="C45" s="25">
        <f>Запад!B10</f>
        <v>150</v>
      </c>
      <c r="D45" s="25">
        <f>Запад!C10</f>
        <v>12</v>
      </c>
      <c r="E45" s="25">
        <f>Запад!D10</f>
        <v>3</v>
      </c>
      <c r="F45" s="25">
        <f>Запад!E10</f>
        <v>1800</v>
      </c>
      <c r="G45" s="25" t="str">
        <f>Запад!F10</f>
        <v>"Japfruit ComLTD"</v>
      </c>
      <c r="H45" s="26">
        <f>Запад!G10</f>
        <v>46072</v>
      </c>
      <c r="I45" s="26">
        <f>Запад!H10</f>
        <v>46072</v>
      </c>
      <c r="J45" s="26">
        <f>Запад!I10</f>
        <v>46077</v>
      </c>
      <c r="K45" s="25" t="str">
        <f>Запад!J10</f>
        <v>Дост. в срок</v>
      </c>
      <c r="L45" s="27">
        <f t="shared" si="2"/>
        <v>15</v>
      </c>
      <c r="N45" s="28" t="s">
        <v>33</v>
      </c>
      <c r="O45">
        <v>33780</v>
      </c>
    </row>
    <row r="46" spans="1:15" x14ac:dyDescent="0.3">
      <c r="A46" s="25" t="str">
        <f t="shared" si="3"/>
        <v>Запад</v>
      </c>
      <c r="B46" s="25" t="str">
        <f>Запад!A26</f>
        <v>Спаржа</v>
      </c>
      <c r="C46" s="25">
        <f>Запад!B26</f>
        <v>163</v>
      </c>
      <c r="D46" s="25">
        <f>Запад!C26</f>
        <v>11</v>
      </c>
      <c r="E46" s="25">
        <f>Запад!D26</f>
        <v>2</v>
      </c>
      <c r="F46" s="25">
        <f>Запад!E26</f>
        <v>1793</v>
      </c>
      <c r="G46" s="25" t="str">
        <f>Запад!F26</f>
        <v>"Japfruit ComLTD"</v>
      </c>
      <c r="H46" s="26">
        <f>Запад!G26</f>
        <v>46072</v>
      </c>
      <c r="I46" s="26">
        <f>Запад!H26</f>
        <v>46072</v>
      </c>
      <c r="J46" s="26">
        <f>Запад!I26</f>
        <v>46075</v>
      </c>
      <c r="K46" s="25" t="str">
        <f>Запад!J26</f>
        <v>Дост. в срок</v>
      </c>
      <c r="L46" s="27">
        <f t="shared" si="2"/>
        <v>13</v>
      </c>
      <c r="N46" s="28" t="s">
        <v>36</v>
      </c>
      <c r="O46">
        <v>31700</v>
      </c>
    </row>
    <row r="47" spans="1:15" x14ac:dyDescent="0.3">
      <c r="A47" s="25" t="str">
        <f t="shared" si="3"/>
        <v>Запад</v>
      </c>
      <c r="B47" s="25" t="str">
        <f>Запад!A23</f>
        <v>Репа</v>
      </c>
      <c r="C47" s="25">
        <f>Запад!B23</f>
        <v>90</v>
      </c>
      <c r="D47" s="25">
        <f>Запад!C23</f>
        <v>19</v>
      </c>
      <c r="E47" s="25">
        <f>Запад!D23</f>
        <v>4</v>
      </c>
      <c r="F47" s="25">
        <f>Запад!E23</f>
        <v>1710</v>
      </c>
      <c r="G47" s="25" t="str">
        <f>Запад!F23</f>
        <v>&lt;&lt;ООО&gt;&gt;"Зарница"</v>
      </c>
      <c r="H47" s="26">
        <f>Запад!G23</f>
        <v>46070</v>
      </c>
      <c r="I47" s="26">
        <f>Запад!H23</f>
        <v>46070</v>
      </c>
      <c r="J47" s="26">
        <f>Запад!I23</f>
        <v>46077</v>
      </c>
      <c r="K47" s="25" t="str">
        <f>Запад!J23</f>
        <v>Дост. в срок</v>
      </c>
      <c r="L47" s="27">
        <f t="shared" si="2"/>
        <v>23</v>
      </c>
      <c r="N47" s="28" t="s">
        <v>15</v>
      </c>
      <c r="O47">
        <v>358580</v>
      </c>
    </row>
    <row r="48" spans="1:15" x14ac:dyDescent="0.3">
      <c r="A48" s="25" t="str">
        <f t="shared" si="3"/>
        <v>Запад</v>
      </c>
      <c r="B48" s="25" t="str">
        <f>Запад!A5</f>
        <v>Батат</v>
      </c>
      <c r="C48" s="25">
        <f>Запад!B5</f>
        <v>170</v>
      </c>
      <c r="D48" s="25">
        <f>Запад!C5</f>
        <v>10</v>
      </c>
      <c r="E48" s="25">
        <f>Запад!D5</f>
        <v>2</v>
      </c>
      <c r="F48" s="25">
        <f>Запад!E5</f>
        <v>1700</v>
      </c>
      <c r="G48" s="25" t="str">
        <f>Запад!F5</f>
        <v>"Japfruit ComLTD"</v>
      </c>
      <c r="H48" s="26">
        <f>Запад!G5</f>
        <v>46072</v>
      </c>
      <c r="I48" s="26">
        <f>Запад!H5</f>
        <v>46072</v>
      </c>
      <c r="J48" s="26">
        <f>Запад!I5</f>
        <v>46076</v>
      </c>
      <c r="K48" s="25" t="str">
        <f>Запад!J5</f>
        <v>Дост. в срок</v>
      </c>
      <c r="L48" s="27">
        <f t="shared" si="2"/>
        <v>12</v>
      </c>
      <c r="N48" s="28" t="s">
        <v>55</v>
      </c>
      <c r="O48">
        <v>478560</v>
      </c>
    </row>
    <row r="49" spans="1:12" x14ac:dyDescent="0.3">
      <c r="A49" s="25" t="str">
        <f t="shared" si="3"/>
        <v>Запад</v>
      </c>
      <c r="B49" s="25" t="str">
        <f>Запад!A6</f>
        <v>Брокколи</v>
      </c>
      <c r="C49" s="25">
        <f>Запад!B6</f>
        <v>160</v>
      </c>
      <c r="D49" s="25">
        <f>Запад!C6</f>
        <v>10</v>
      </c>
      <c r="E49" s="25">
        <f>Запад!D6</f>
        <v>2</v>
      </c>
      <c r="F49" s="25">
        <f>Запад!E6</f>
        <v>1600</v>
      </c>
      <c r="G49" s="25" t="str">
        <f>Запад!F6</f>
        <v>&lt;&lt;ООО&gt;&gt;"Зарница"</v>
      </c>
      <c r="H49" s="26">
        <f>Запад!G6</f>
        <v>46070</v>
      </c>
      <c r="I49" s="26">
        <f>Запад!H6</f>
        <v>46070</v>
      </c>
      <c r="J49" s="26">
        <f>Запад!I6</f>
        <v>46072</v>
      </c>
      <c r="K49" s="25" t="str">
        <f>Запад!J6</f>
        <v>Дост. в срок</v>
      </c>
      <c r="L49" s="27">
        <f t="shared" si="2"/>
        <v>12</v>
      </c>
    </row>
    <row r="50" spans="1:12" x14ac:dyDescent="0.3">
      <c r="A50" s="25" t="str">
        <f t="shared" si="3"/>
        <v>Запад</v>
      </c>
      <c r="B50" s="25" t="str">
        <f>Запад!A19</f>
        <v>Персики</v>
      </c>
      <c r="C50" s="25">
        <f>Запад!B19</f>
        <v>120</v>
      </c>
      <c r="D50" s="25">
        <f>Запад!C19</f>
        <v>13</v>
      </c>
      <c r="E50" s="25">
        <f>Запад!D19</f>
        <v>3</v>
      </c>
      <c r="F50" s="25">
        <f>Запад!E19</f>
        <v>1560</v>
      </c>
      <c r="G50" s="25" t="str">
        <f>Запад!F19</f>
        <v>"ChinaKO TM"</v>
      </c>
      <c r="H50" s="26">
        <f>Запад!G19</f>
        <v>46073</v>
      </c>
      <c r="I50" s="26">
        <f>Запад!H19</f>
        <v>46071</v>
      </c>
      <c r="J50" s="26">
        <f>Запад!I19</f>
        <v>46074</v>
      </c>
      <c r="K50" s="25" t="str">
        <f>Запад!J19</f>
        <v>Просрочена</v>
      </c>
      <c r="L50" s="27">
        <f t="shared" si="2"/>
        <v>16</v>
      </c>
    </row>
    <row r="51" spans="1:12" x14ac:dyDescent="0.3">
      <c r="A51" s="25" t="str">
        <f t="shared" si="3"/>
        <v>Запад</v>
      </c>
      <c r="B51" s="25" t="str">
        <f>Запад!A21</f>
        <v>Редис</v>
      </c>
      <c r="C51" s="25">
        <f>Запад!B21</f>
        <v>95</v>
      </c>
      <c r="D51" s="25">
        <f>Запад!C21</f>
        <v>16</v>
      </c>
      <c r="E51" s="25">
        <f>Запад!D21</f>
        <v>4</v>
      </c>
      <c r="F51" s="25">
        <f>Запад!E21</f>
        <v>1520</v>
      </c>
      <c r="G51" s="25" t="str">
        <f>Запад!F21</f>
        <v>&lt;&lt;ООО&gt;&gt;"Зарница"</v>
      </c>
      <c r="H51" s="26">
        <f>Запад!G21</f>
        <v>46070</v>
      </c>
      <c r="I51" s="26">
        <f>Запад!H21</f>
        <v>46070</v>
      </c>
      <c r="J51" s="26">
        <f>Запад!I21</f>
        <v>46072</v>
      </c>
      <c r="K51" s="25" t="str">
        <f>Запад!J21</f>
        <v>Дост. в срок</v>
      </c>
      <c r="L51" s="27">
        <f t="shared" si="2"/>
        <v>20</v>
      </c>
    </row>
    <row r="52" spans="1:12" x14ac:dyDescent="0.3">
      <c r="A52" s="25" t="str">
        <f t="shared" si="3"/>
        <v>Запад</v>
      </c>
      <c r="B52" s="25" t="str">
        <f>Запад!A9</f>
        <v>Груши</v>
      </c>
      <c r="C52" s="25">
        <f>Запад!B9</f>
        <v>120</v>
      </c>
      <c r="D52" s="25">
        <f>Запад!C9</f>
        <v>12</v>
      </c>
      <c r="E52" s="25">
        <f>Запад!D9</f>
        <v>3</v>
      </c>
      <c r="F52" s="25">
        <f>Запад!E9</f>
        <v>1440</v>
      </c>
      <c r="G52" s="25" t="str">
        <f>Запад!F9</f>
        <v>"ChinaKO TM"</v>
      </c>
      <c r="H52" s="26">
        <f>Запад!G9</f>
        <v>46073</v>
      </c>
      <c r="I52" s="26">
        <f>Запад!H9</f>
        <v>46071</v>
      </c>
      <c r="J52" s="26">
        <f>Запад!I9</f>
        <v>46075</v>
      </c>
      <c r="K52" s="25" t="str">
        <f>Запад!J9</f>
        <v>Просрочена</v>
      </c>
      <c r="L52" s="27">
        <f t="shared" si="2"/>
        <v>15</v>
      </c>
    </row>
    <row r="53" spans="1:12" x14ac:dyDescent="0.3">
      <c r="A53" s="25" t="str">
        <f t="shared" si="3"/>
        <v>Запад</v>
      </c>
      <c r="B53" s="25" t="str">
        <f>Запад!A3</f>
        <v>Авокадо</v>
      </c>
      <c r="C53" s="25">
        <f>Запад!B3</f>
        <v>280</v>
      </c>
      <c r="D53" s="25">
        <f>Запад!C3</f>
        <v>5</v>
      </c>
      <c r="E53" s="25">
        <f>Запад!D3</f>
        <v>1</v>
      </c>
      <c r="F53" s="25">
        <f>Запад!E3</f>
        <v>1400</v>
      </c>
      <c r="G53" s="25" t="str">
        <f>Запад!F3</f>
        <v>"Japfruit ComLTD"</v>
      </c>
      <c r="H53" s="26">
        <f>Запад!G3</f>
        <v>46072</v>
      </c>
      <c r="I53" s="26">
        <f>Запад!H3</f>
        <v>46072</v>
      </c>
      <c r="J53" s="26">
        <f>Запад!I3</f>
        <v>46075</v>
      </c>
      <c r="K53" s="25" t="str">
        <f>Запад!J3</f>
        <v>Дост. в срок</v>
      </c>
      <c r="L53" s="27">
        <f t="shared" si="2"/>
        <v>6</v>
      </c>
    </row>
    <row r="54" spans="1:12" x14ac:dyDescent="0.3">
      <c r="A54" s="25" t="str">
        <f t="shared" si="3"/>
        <v>Запад</v>
      </c>
      <c r="B54" s="25" t="str">
        <f>Запад!A28</f>
        <v>Тыква</v>
      </c>
      <c r="C54" s="25">
        <f>Запад!B28</f>
        <v>70</v>
      </c>
      <c r="D54" s="25">
        <f>Запад!C28</f>
        <v>20</v>
      </c>
      <c r="E54" s="25">
        <f>Запад!D28</f>
        <v>5</v>
      </c>
      <c r="F54" s="25">
        <f>Запад!E28</f>
        <v>1400</v>
      </c>
      <c r="G54" s="25" t="str">
        <f>Запад!F28</f>
        <v>&lt;&lt;ООО&gt;&gt;"Зарница"</v>
      </c>
      <c r="H54" s="26">
        <f>Запад!G28</f>
        <v>46070</v>
      </c>
      <c r="I54" s="26">
        <f>Запад!H28</f>
        <v>46070</v>
      </c>
      <c r="J54" s="26">
        <f>Запад!I28</f>
        <v>46077</v>
      </c>
      <c r="K54" s="25" t="str">
        <f>Запад!J28</f>
        <v>Дост. в срок</v>
      </c>
      <c r="L54" s="27">
        <f t="shared" si="2"/>
        <v>25</v>
      </c>
    </row>
    <row r="55" spans="1:12" x14ac:dyDescent="0.3">
      <c r="A55" s="25" t="str">
        <f t="shared" si="3"/>
        <v>Запад</v>
      </c>
      <c r="B55" s="25" t="str">
        <f>Запад!A18</f>
        <v>Патиссон</v>
      </c>
      <c r="C55" s="25">
        <f>Запад!B18</f>
        <v>99</v>
      </c>
      <c r="D55" s="25">
        <f>Запад!C18</f>
        <v>14</v>
      </c>
      <c r="E55" s="25">
        <f>Запад!D18</f>
        <v>3</v>
      </c>
      <c r="F55" s="25">
        <f>Запад!E18</f>
        <v>1386</v>
      </c>
      <c r="G55" s="25" t="str">
        <f>Запад!F18</f>
        <v>&lt;&lt;ООО&gt;&gt;"Зарница"</v>
      </c>
      <c r="H55" s="26">
        <f>Запад!G18</f>
        <v>46070</v>
      </c>
      <c r="I55" s="26">
        <f>Запад!H18</f>
        <v>46070</v>
      </c>
      <c r="J55" s="26">
        <f>Запад!I18</f>
        <v>46073</v>
      </c>
      <c r="K55" s="25" t="str">
        <f>Запад!J18</f>
        <v>Дост. в срок</v>
      </c>
      <c r="L55" s="27">
        <f t="shared" si="2"/>
        <v>17</v>
      </c>
    </row>
    <row r="56" spans="1:12" x14ac:dyDescent="0.3">
      <c r="A56" s="25" t="str">
        <f t="shared" si="3"/>
        <v>Запад</v>
      </c>
      <c r="B56" s="25" t="str">
        <f>Запад!A27</f>
        <v>Топинамбур</v>
      </c>
      <c r="C56" s="25">
        <f>Запад!B27</f>
        <v>105</v>
      </c>
      <c r="D56" s="25">
        <f>Запад!C27</f>
        <v>13</v>
      </c>
      <c r="E56" s="25">
        <f>Запад!D27</f>
        <v>3</v>
      </c>
      <c r="F56" s="25">
        <f>Запад!E27</f>
        <v>1365</v>
      </c>
      <c r="G56" s="25" t="str">
        <f>Запад!F27</f>
        <v>"Japfruit ComLTD"</v>
      </c>
      <c r="H56" s="26">
        <f>Запад!G27</f>
        <v>46072</v>
      </c>
      <c r="I56" s="26">
        <f>Запад!H27</f>
        <v>46072</v>
      </c>
      <c r="J56" s="26">
        <f>Запад!I27</f>
        <v>46077</v>
      </c>
      <c r="K56" s="25" t="str">
        <f>Запад!J27</f>
        <v>Дост. в срок</v>
      </c>
      <c r="L56" s="27">
        <f t="shared" si="2"/>
        <v>16</v>
      </c>
    </row>
    <row r="57" spans="1:12" x14ac:dyDescent="0.3">
      <c r="A57" s="25" t="str">
        <f t="shared" si="3"/>
        <v>Запад</v>
      </c>
      <c r="B57" s="25" t="str">
        <f>Запад!A11</f>
        <v>Капуста</v>
      </c>
      <c r="C57" s="25">
        <f>Запад!B11</f>
        <v>80</v>
      </c>
      <c r="D57" s="25">
        <f>Запад!C11</f>
        <v>14</v>
      </c>
      <c r="E57" s="25">
        <f>Запад!D11</f>
        <v>3</v>
      </c>
      <c r="F57" s="25">
        <f>Запад!E11</f>
        <v>1120</v>
      </c>
      <c r="G57" s="25" t="str">
        <f>Запад!F11</f>
        <v>&lt;&lt;ООО&gt;&gt;"Зарница"</v>
      </c>
      <c r="H57" s="26">
        <f>Запад!G11</f>
        <v>46070</v>
      </c>
      <c r="I57" s="26">
        <f>Запад!H11</f>
        <v>46070</v>
      </c>
      <c r="J57" s="26">
        <f>Запад!I11</f>
        <v>46077</v>
      </c>
      <c r="K57" s="25" t="str">
        <f>Запад!J11</f>
        <v>Дост. в срок</v>
      </c>
      <c r="L57" s="27">
        <f t="shared" si="2"/>
        <v>17</v>
      </c>
    </row>
    <row r="58" spans="1:12" x14ac:dyDescent="0.3">
      <c r="A58" s="25" t="str">
        <f t="shared" si="3"/>
        <v>Запад</v>
      </c>
      <c r="B58" s="25" t="str">
        <f>Запад!A22</f>
        <v>Редька</v>
      </c>
      <c r="C58" s="25">
        <f>Запад!B22</f>
        <v>100</v>
      </c>
      <c r="D58" s="25">
        <f>Запад!C22</f>
        <v>10</v>
      </c>
      <c r="E58" s="25">
        <f>Запад!D22</f>
        <v>2</v>
      </c>
      <c r="F58" s="25">
        <f>Запад!E22</f>
        <v>1000</v>
      </c>
      <c r="G58" s="25" t="str">
        <f>Запад!F22</f>
        <v>&lt;&lt;ООО&gt;&gt;"Зарница"</v>
      </c>
      <c r="H58" s="26">
        <f>Запад!G22</f>
        <v>46070</v>
      </c>
      <c r="I58" s="26">
        <f>Запад!H22</f>
        <v>46070</v>
      </c>
      <c r="J58" s="26">
        <f>Запад!I22</f>
        <v>46078</v>
      </c>
      <c r="K58" s="25" t="str">
        <f>Запад!J22</f>
        <v>Дост. в срок</v>
      </c>
      <c r="L58" s="27">
        <f t="shared" si="2"/>
        <v>12</v>
      </c>
    </row>
    <row r="59" spans="1:12" x14ac:dyDescent="0.3">
      <c r="A59" s="25" t="str">
        <f t="shared" si="3"/>
        <v>Запад</v>
      </c>
      <c r="B59" s="25" t="str">
        <f>Запад!A13</f>
        <v>Кольраби</v>
      </c>
      <c r="C59" s="25">
        <f>Запад!B13</f>
        <v>186</v>
      </c>
      <c r="D59" s="25">
        <f>Запад!C13</f>
        <v>5</v>
      </c>
      <c r="E59" s="25">
        <f>Запад!D13</f>
        <v>1</v>
      </c>
      <c r="F59" s="25">
        <f>Запад!E13</f>
        <v>930</v>
      </c>
      <c r="G59" s="25" t="str">
        <f>Запад!F13</f>
        <v>"Japfruit ComLTD"</v>
      </c>
      <c r="H59" s="26">
        <f>Запад!G13</f>
        <v>46072</v>
      </c>
      <c r="I59" s="26">
        <f>Запад!H13</f>
        <v>46072</v>
      </c>
      <c r="J59" s="26">
        <f>Запад!I13</f>
        <v>46074</v>
      </c>
      <c r="K59" s="25" t="str">
        <f>Запад!J13</f>
        <v>Дост. в срок</v>
      </c>
      <c r="L59" s="27">
        <f t="shared" si="2"/>
        <v>6</v>
      </c>
    </row>
    <row r="60" spans="1:12" x14ac:dyDescent="0.3">
      <c r="A60" s="25" t="str">
        <f t="shared" si="3"/>
        <v>Запад</v>
      </c>
      <c r="B60" s="25" t="str">
        <f>Запад!A30</f>
        <v>Чеснок</v>
      </c>
      <c r="C60" s="25">
        <f>Запад!B30</f>
        <v>42</v>
      </c>
      <c r="D60" s="25">
        <f>Запад!C30</f>
        <v>20</v>
      </c>
      <c r="E60" s="25">
        <f>Запад!D30</f>
        <v>5</v>
      </c>
      <c r="F60" s="25">
        <f>Запад!E30</f>
        <v>840</v>
      </c>
      <c r="G60" s="25" t="str">
        <f>Запад!F30</f>
        <v>&lt;&lt;ООО&gt;&gt;"Зарница"</v>
      </c>
      <c r="H60" s="26">
        <f>Запад!G30</f>
        <v>46070</v>
      </c>
      <c r="I60" s="26">
        <f>Запад!H30</f>
        <v>46070</v>
      </c>
      <c r="J60" s="26">
        <f>Запад!I30</f>
        <v>46077</v>
      </c>
      <c r="K60" s="25" t="str">
        <f>Запад!J30</f>
        <v>Дост. в срок</v>
      </c>
      <c r="L60" s="27">
        <f t="shared" si="2"/>
        <v>25</v>
      </c>
    </row>
    <row r="61" spans="1:12" x14ac:dyDescent="0.3">
      <c r="A61" s="25" t="str">
        <f t="shared" si="3"/>
        <v>Запад</v>
      </c>
      <c r="B61" s="25" t="str">
        <f>Запад!A25</f>
        <v>Сельдерей</v>
      </c>
      <c r="C61" s="25">
        <f>Запад!B25</f>
        <v>120</v>
      </c>
      <c r="D61" s="25">
        <f>Запад!C25</f>
        <v>2</v>
      </c>
      <c r="E61" s="25">
        <f>Запад!D25</f>
        <v>0</v>
      </c>
      <c r="F61" s="25">
        <f>Запад!E25</f>
        <v>240</v>
      </c>
      <c r="G61" s="25" t="str">
        <f>Запад!F25</f>
        <v>"Japfruit ComLTD"</v>
      </c>
      <c r="H61" s="26">
        <f>Запад!G25</f>
        <v>46072</v>
      </c>
      <c r="I61" s="26">
        <f>Запад!H25</f>
        <v>46072</v>
      </c>
      <c r="J61" s="26">
        <f>Запад!I25</f>
        <v>46076</v>
      </c>
      <c r="K61" s="25" t="str">
        <f>Запад!J25</f>
        <v>Дост. в срок</v>
      </c>
      <c r="L61" s="27">
        <f t="shared" si="2"/>
        <v>2</v>
      </c>
    </row>
    <row r="62" spans="1:12" x14ac:dyDescent="0.3">
      <c r="A62" s="25" t="str">
        <f t="shared" ref="A62:A91" si="4">"Север"</f>
        <v>Север</v>
      </c>
      <c r="B62" s="29" t="str">
        <f>Север!A31</f>
        <v>Яблоки</v>
      </c>
      <c r="C62" s="29">
        <f>Север!B31</f>
        <v>1000</v>
      </c>
      <c r="D62" s="29">
        <f>Север!C31</f>
        <v>350</v>
      </c>
      <c r="E62" s="29">
        <f>Север!D31</f>
        <v>87</v>
      </c>
      <c r="F62" s="29">
        <f>Север!E31</f>
        <v>350000</v>
      </c>
      <c r="G62" s="29" t="str">
        <f>Север!F31</f>
        <v>"ChinaKO TM"</v>
      </c>
      <c r="H62" s="30">
        <f>Север!G31</f>
        <v>46073</v>
      </c>
      <c r="I62" s="30">
        <f>Север!H31</f>
        <v>46072</v>
      </c>
      <c r="J62" s="30">
        <f>Север!I31</f>
        <v>46072</v>
      </c>
      <c r="K62" s="29" t="str">
        <f>Север!J31</f>
        <v>Просрочена</v>
      </c>
      <c r="L62" s="27">
        <f t="shared" si="2"/>
        <v>437</v>
      </c>
    </row>
    <row r="63" spans="1:12" x14ac:dyDescent="0.3">
      <c r="A63" s="25" t="str">
        <f t="shared" si="4"/>
        <v>Север</v>
      </c>
      <c r="B63" s="29" t="str">
        <f>Север!A12</f>
        <v>Картофель</v>
      </c>
      <c r="C63" s="29">
        <f>Север!B12</f>
        <v>60</v>
      </c>
      <c r="D63" s="29">
        <f>Север!C12</f>
        <v>200</v>
      </c>
      <c r="E63" s="29">
        <f>Север!D12</f>
        <v>50</v>
      </c>
      <c r="F63" s="29">
        <f>Север!E12</f>
        <v>12000</v>
      </c>
      <c r="G63" s="29" t="str">
        <f>Север!F12</f>
        <v>&lt;&lt;ООО&gt;&gt;"Зарница"</v>
      </c>
      <c r="H63" s="30">
        <f>Север!G12</f>
        <v>46070</v>
      </c>
      <c r="I63" s="30">
        <f>Север!H12</f>
        <v>46070</v>
      </c>
      <c r="J63" s="30">
        <f>Север!I12</f>
        <v>46076</v>
      </c>
      <c r="K63" s="29" t="str">
        <f>Север!J12</f>
        <v>Дост. в срок</v>
      </c>
      <c r="L63" s="27">
        <f t="shared" si="2"/>
        <v>250</v>
      </c>
    </row>
    <row r="64" spans="1:12" x14ac:dyDescent="0.3">
      <c r="A64" s="25" t="str">
        <f t="shared" si="4"/>
        <v>Север</v>
      </c>
      <c r="B64" s="29" t="str">
        <f>Север!A16</f>
        <v>Огурцы</v>
      </c>
      <c r="C64" s="29">
        <f>Север!B16</f>
        <v>85</v>
      </c>
      <c r="D64" s="29">
        <f>Север!C16</f>
        <v>100</v>
      </c>
      <c r="E64" s="29">
        <f>Север!D16</f>
        <v>25</v>
      </c>
      <c r="F64" s="29">
        <f>Север!E16</f>
        <v>8500</v>
      </c>
      <c r="G64" s="29" t="str">
        <f>Север!F16</f>
        <v>&lt;&lt;ООО&gt;&gt;"Зарница"</v>
      </c>
      <c r="H64" s="30">
        <f>Север!G16</f>
        <v>46070</v>
      </c>
      <c r="I64" s="30">
        <f>Север!H16</f>
        <v>46070</v>
      </c>
      <c r="J64" s="30">
        <f>Север!I16</f>
        <v>46072</v>
      </c>
      <c r="K64" s="29" t="str">
        <f>Север!J16</f>
        <v>Дост. в срок</v>
      </c>
      <c r="L64" s="27">
        <f t="shared" si="2"/>
        <v>125</v>
      </c>
    </row>
    <row r="65" spans="1:12" x14ac:dyDescent="0.3">
      <c r="A65" s="25" t="str">
        <f t="shared" si="4"/>
        <v>Север</v>
      </c>
      <c r="B65" s="29" t="str">
        <f>Север!A24</f>
        <v>Свекла</v>
      </c>
      <c r="C65" s="29">
        <f>Север!B24</f>
        <v>88</v>
      </c>
      <c r="D65" s="29">
        <f>Север!C24</f>
        <v>54</v>
      </c>
      <c r="E65" s="29">
        <f>Север!D24</f>
        <v>13</v>
      </c>
      <c r="F65" s="29">
        <f>Север!E24</f>
        <v>4752</v>
      </c>
      <c r="G65" s="29" t="str">
        <f>Север!F24</f>
        <v>&lt;&lt;ООО&gt;&gt;"Зарница"</v>
      </c>
      <c r="H65" s="30">
        <f>Север!G24</f>
        <v>46070</v>
      </c>
      <c r="I65" s="30">
        <f>Север!H24</f>
        <v>46070</v>
      </c>
      <c r="J65" s="30">
        <f>Север!I24</f>
        <v>46076</v>
      </c>
      <c r="K65" s="29" t="str">
        <f>Север!J24</f>
        <v>Дост. в срок</v>
      </c>
      <c r="L65" s="27">
        <f t="shared" si="2"/>
        <v>67</v>
      </c>
    </row>
    <row r="66" spans="1:12" x14ac:dyDescent="0.3">
      <c r="A66" s="25" t="str">
        <f t="shared" si="4"/>
        <v>Север</v>
      </c>
      <c r="B66" s="29" t="str">
        <f>Север!A20</f>
        <v>Помидоры</v>
      </c>
      <c r="C66" s="29">
        <f>Север!B20</f>
        <v>90</v>
      </c>
      <c r="D66" s="29">
        <f>Север!C20</f>
        <v>50</v>
      </c>
      <c r="E66" s="29">
        <f>Север!D20</f>
        <v>12</v>
      </c>
      <c r="F66" s="29">
        <f>Север!E20</f>
        <v>4500</v>
      </c>
      <c r="G66" s="29" t="str">
        <f>Север!F20</f>
        <v>&lt;&lt;ООО&gt;&gt;"Зарница"</v>
      </c>
      <c r="H66" s="30">
        <f>Север!G20</f>
        <v>46070</v>
      </c>
      <c r="I66" s="30">
        <f>Север!H20</f>
        <v>46070</v>
      </c>
      <c r="J66" s="30">
        <f>Север!I20</f>
        <v>46072</v>
      </c>
      <c r="K66" s="29" t="str">
        <f>Север!J20</f>
        <v>Дост. в срок</v>
      </c>
      <c r="L66" s="27">
        <f t="shared" si="2"/>
        <v>62</v>
      </c>
    </row>
    <row r="67" spans="1:12" x14ac:dyDescent="0.3">
      <c r="A67" s="25" t="str">
        <f t="shared" si="4"/>
        <v>Север</v>
      </c>
      <c r="B67" s="29" t="str">
        <f>Север!A15</f>
        <v>Морковь</v>
      </c>
      <c r="C67" s="29">
        <f>Север!B15</f>
        <v>95</v>
      </c>
      <c r="D67" s="29">
        <f>Север!C15</f>
        <v>45</v>
      </c>
      <c r="E67" s="29">
        <f>Север!D15</f>
        <v>11</v>
      </c>
      <c r="F67" s="29">
        <f>Север!E15</f>
        <v>4275</v>
      </c>
      <c r="G67" s="29" t="str">
        <f>Север!F15</f>
        <v>&lt;&lt;ООО&gt;&gt;"Зарница"</v>
      </c>
      <c r="H67" s="30">
        <f>Север!G15</f>
        <v>46070</v>
      </c>
      <c r="I67" s="30">
        <f>Север!H15</f>
        <v>46070</v>
      </c>
      <c r="J67" s="30">
        <f>Север!I15</f>
        <v>46075</v>
      </c>
      <c r="K67" s="29" t="str">
        <f>Север!J15</f>
        <v>Дост. в срок</v>
      </c>
      <c r="L67" s="27">
        <f t="shared" si="2"/>
        <v>56</v>
      </c>
    </row>
    <row r="68" spans="1:12" x14ac:dyDescent="0.3">
      <c r="A68" s="25" t="str">
        <f t="shared" si="4"/>
        <v>Север</v>
      </c>
      <c r="B68" s="29" t="str">
        <f>Север!A3</f>
        <v>Авокадо</v>
      </c>
      <c r="C68" s="29">
        <f>Север!B3</f>
        <v>270</v>
      </c>
      <c r="D68" s="29">
        <f>Север!C3</f>
        <v>15</v>
      </c>
      <c r="E68" s="29">
        <f>Север!D3</f>
        <v>3</v>
      </c>
      <c r="F68" s="29">
        <f>Север!E3</f>
        <v>4050</v>
      </c>
      <c r="G68" s="29" t="str">
        <f>Север!F3</f>
        <v>"Japfruit ComLTD"</v>
      </c>
      <c r="H68" s="30">
        <f>Север!G3</f>
        <v>46071</v>
      </c>
      <c r="I68" s="30">
        <f>Север!H3</f>
        <v>46071</v>
      </c>
      <c r="J68" s="30">
        <f>Север!I3</f>
        <v>46076</v>
      </c>
      <c r="K68" s="29" t="str">
        <f>Север!J3</f>
        <v>Дост. в срок</v>
      </c>
      <c r="L68" s="27">
        <f t="shared" si="2"/>
        <v>18</v>
      </c>
    </row>
    <row r="69" spans="1:12" x14ac:dyDescent="0.3">
      <c r="A69" s="25" t="str">
        <f t="shared" si="4"/>
        <v>Север</v>
      </c>
      <c r="B69" s="29" t="str">
        <f>Север!A13</f>
        <v>Кольраби</v>
      </c>
      <c r="C69" s="29">
        <f>Север!B13</f>
        <v>190</v>
      </c>
      <c r="D69" s="29">
        <f>Север!C13</f>
        <v>19</v>
      </c>
      <c r="E69" s="29">
        <f>Север!D13</f>
        <v>4</v>
      </c>
      <c r="F69" s="29">
        <f>Север!E13</f>
        <v>3610</v>
      </c>
      <c r="G69" s="29" t="str">
        <f>Север!F13</f>
        <v>"Japfruit ComLTD"</v>
      </c>
      <c r="H69" s="30">
        <f>Север!G13</f>
        <v>46071</v>
      </c>
      <c r="I69" s="30">
        <f>Север!H13</f>
        <v>46071</v>
      </c>
      <c r="J69" s="30">
        <f>Север!I13</f>
        <v>46072</v>
      </c>
      <c r="K69" s="29" t="str">
        <f>Север!J13</f>
        <v>Дост. в срок</v>
      </c>
      <c r="L69" s="27">
        <f t="shared" si="2"/>
        <v>23</v>
      </c>
    </row>
    <row r="70" spans="1:12" x14ac:dyDescent="0.3">
      <c r="A70" s="25" t="str">
        <f t="shared" si="4"/>
        <v>Север</v>
      </c>
      <c r="B70" s="29" t="str">
        <f>Север!A5</f>
        <v>Батат</v>
      </c>
      <c r="C70" s="29">
        <f>Север!B5</f>
        <v>150</v>
      </c>
      <c r="D70" s="29">
        <f>Север!C5</f>
        <v>24</v>
      </c>
      <c r="E70" s="29">
        <f>Север!D5</f>
        <v>6</v>
      </c>
      <c r="F70" s="29">
        <f>Север!E5</f>
        <v>3600</v>
      </c>
      <c r="G70" s="29" t="str">
        <f>Север!F5</f>
        <v>"Japfruit ComLTD"</v>
      </c>
      <c r="H70" s="30">
        <f>Север!G5</f>
        <v>46071</v>
      </c>
      <c r="I70" s="30">
        <f>Север!H5</f>
        <v>46071</v>
      </c>
      <c r="J70" s="30">
        <f>Север!I5</f>
        <v>46072</v>
      </c>
      <c r="K70" s="29" t="str">
        <f>Север!J5</f>
        <v>Дост. в срок</v>
      </c>
      <c r="L70" s="27">
        <f t="shared" si="2"/>
        <v>30</v>
      </c>
    </row>
    <row r="71" spans="1:12" x14ac:dyDescent="0.3">
      <c r="A71" s="25" t="str">
        <f t="shared" si="4"/>
        <v>Север</v>
      </c>
      <c r="B71" s="29" t="str">
        <f>Север!A2</f>
        <v>Абрикосы</v>
      </c>
      <c r="C71" s="29">
        <f>Север!B2</f>
        <v>170</v>
      </c>
      <c r="D71" s="29">
        <f>Север!C2</f>
        <v>20</v>
      </c>
      <c r="E71" s="29">
        <f>Север!D2</f>
        <v>5</v>
      </c>
      <c r="F71" s="29">
        <f>Север!E2</f>
        <v>3400</v>
      </c>
      <c r="G71" s="29" t="str">
        <f>Север!F2</f>
        <v>"ChinaKO TM"</v>
      </c>
      <c r="H71" s="30">
        <f>Север!G2</f>
        <v>46073</v>
      </c>
      <c r="I71" s="30">
        <f>Север!H2</f>
        <v>46072</v>
      </c>
      <c r="J71" s="30">
        <f>Север!I2</f>
        <v>46072</v>
      </c>
      <c r="K71" s="29" t="str">
        <f>Север!J2</f>
        <v>Просрочена</v>
      </c>
      <c r="L71" s="27">
        <f t="shared" si="2"/>
        <v>25</v>
      </c>
    </row>
    <row r="72" spans="1:12" x14ac:dyDescent="0.3">
      <c r="A72" s="25" t="str">
        <f t="shared" si="4"/>
        <v>Север</v>
      </c>
      <c r="B72" s="29" t="str">
        <f>Север!A9</f>
        <v>Груши</v>
      </c>
      <c r="C72" s="29">
        <f>Север!B9</f>
        <v>150</v>
      </c>
      <c r="D72" s="29">
        <f>Север!C9</f>
        <v>20</v>
      </c>
      <c r="E72" s="29">
        <f>Север!D9</f>
        <v>5</v>
      </c>
      <c r="F72" s="29">
        <f>Север!E9</f>
        <v>3000</v>
      </c>
      <c r="G72" s="29" t="str">
        <f>Север!F9</f>
        <v>"ChinaKO TM"</v>
      </c>
      <c r="H72" s="30">
        <f>Север!G9</f>
        <v>46073</v>
      </c>
      <c r="I72" s="30">
        <f>Север!H9</f>
        <v>46072</v>
      </c>
      <c r="J72" s="30">
        <f>Север!I9</f>
        <v>46075</v>
      </c>
      <c r="K72" s="29" t="str">
        <f>Север!J9</f>
        <v>Просрочена</v>
      </c>
      <c r="L72" s="27">
        <f t="shared" si="2"/>
        <v>25</v>
      </c>
    </row>
    <row r="73" spans="1:12" x14ac:dyDescent="0.3">
      <c r="A73" s="25" t="str">
        <f t="shared" si="4"/>
        <v>Север</v>
      </c>
      <c r="B73" s="29" t="str">
        <f>Север!A28</f>
        <v>Тыква</v>
      </c>
      <c r="C73" s="29">
        <f>Север!B28</f>
        <v>70</v>
      </c>
      <c r="D73" s="29">
        <f>Север!C28</f>
        <v>40</v>
      </c>
      <c r="E73" s="29">
        <f>Север!D28</f>
        <v>10</v>
      </c>
      <c r="F73" s="29">
        <f>Север!E28</f>
        <v>2800</v>
      </c>
      <c r="G73" s="29" t="str">
        <f>Север!F28</f>
        <v>&lt;&lt;ООО&gt;&gt;"Зарница"</v>
      </c>
      <c r="H73" s="30">
        <f>Север!G28</f>
        <v>46070</v>
      </c>
      <c r="I73" s="30">
        <f>Север!H28</f>
        <v>46070</v>
      </c>
      <c r="J73" s="30">
        <f>Север!I28</f>
        <v>46076</v>
      </c>
      <c r="K73" s="29" t="str">
        <f>Север!J28</f>
        <v>Дост. в срок</v>
      </c>
      <c r="L73" s="27">
        <f t="shared" si="2"/>
        <v>50</v>
      </c>
    </row>
    <row r="74" spans="1:12" x14ac:dyDescent="0.3">
      <c r="A74" s="25" t="str">
        <f t="shared" si="4"/>
        <v>Север</v>
      </c>
      <c r="B74" s="29" t="str">
        <f>Север!A17</f>
        <v>Пастернак</v>
      </c>
      <c r="C74" s="29">
        <f>Север!B17</f>
        <v>125</v>
      </c>
      <c r="D74" s="29">
        <f>Север!C17</f>
        <v>19</v>
      </c>
      <c r="E74" s="29">
        <f>Север!D17</f>
        <v>4</v>
      </c>
      <c r="F74" s="29">
        <f>Север!E17</f>
        <v>2375</v>
      </c>
      <c r="G74" s="29" t="str">
        <f>Север!F17</f>
        <v>&lt;&lt;ООО&gt;&gt;"Зарница"</v>
      </c>
      <c r="H74" s="30">
        <f>Север!G17</f>
        <v>46070</v>
      </c>
      <c r="I74" s="30">
        <f>Север!H17</f>
        <v>46070</v>
      </c>
      <c r="J74" s="30">
        <f>Север!I17</f>
        <v>46076</v>
      </c>
      <c r="K74" s="29" t="str">
        <f>Север!J17</f>
        <v>Дост. в срок</v>
      </c>
      <c r="L74" s="27">
        <f t="shared" ref="L74:L99" si="5">D74+E74</f>
        <v>23</v>
      </c>
    </row>
    <row r="75" spans="1:12" x14ac:dyDescent="0.3">
      <c r="A75" s="25" t="str">
        <f t="shared" si="4"/>
        <v>Север</v>
      </c>
      <c r="B75" s="29" t="str">
        <f>Север!A19</f>
        <v>Персики</v>
      </c>
      <c r="C75" s="29">
        <f>Север!B19</f>
        <v>120</v>
      </c>
      <c r="D75" s="29">
        <f>Север!C19</f>
        <v>19</v>
      </c>
      <c r="E75" s="29">
        <f>Север!D19</f>
        <v>4</v>
      </c>
      <c r="F75" s="29">
        <f>Север!E19</f>
        <v>2280</v>
      </c>
      <c r="G75" s="29" t="str">
        <f>Север!F19</f>
        <v>"ChinaKO TM"</v>
      </c>
      <c r="H75" s="30">
        <f>Север!G19</f>
        <v>46073</v>
      </c>
      <c r="I75" s="30">
        <f>Север!H19</f>
        <v>46072</v>
      </c>
      <c r="J75" s="30">
        <f>Север!I19</f>
        <v>46072</v>
      </c>
      <c r="K75" s="29" t="str">
        <f>Север!J19</f>
        <v>Просрочена</v>
      </c>
      <c r="L75" s="27">
        <f t="shared" si="5"/>
        <v>23</v>
      </c>
    </row>
    <row r="76" spans="1:12" x14ac:dyDescent="0.3">
      <c r="A76" s="25" t="str">
        <f t="shared" si="4"/>
        <v>Север</v>
      </c>
      <c r="B76" s="29" t="str">
        <f>Север!A29</f>
        <v>Черешня</v>
      </c>
      <c r="C76" s="29">
        <f>Север!B29</f>
        <v>190</v>
      </c>
      <c r="D76" s="29">
        <f>Север!C29</f>
        <v>12</v>
      </c>
      <c r="E76" s="29">
        <f>Север!D29</f>
        <v>3</v>
      </c>
      <c r="F76" s="29">
        <f>Север!E29</f>
        <v>2280</v>
      </c>
      <c r="G76" s="29" t="str">
        <f>Север!F29</f>
        <v>"ChinaKO TM"</v>
      </c>
      <c r="H76" s="30">
        <f>Север!G29</f>
        <v>46073</v>
      </c>
      <c r="I76" s="30">
        <f>Север!H29</f>
        <v>46072</v>
      </c>
      <c r="J76" s="30">
        <f>Север!I29</f>
        <v>46072</v>
      </c>
      <c r="K76" s="29" t="str">
        <f>Север!J29</f>
        <v>Просрочена</v>
      </c>
      <c r="L76" s="27">
        <f t="shared" si="5"/>
        <v>15</v>
      </c>
    </row>
    <row r="77" spans="1:12" x14ac:dyDescent="0.3">
      <c r="A77" s="25" t="str">
        <f t="shared" si="4"/>
        <v>Север</v>
      </c>
      <c r="B77" s="29" t="str">
        <f>Север!A4</f>
        <v>Баклажан</v>
      </c>
      <c r="C77" s="29">
        <f>Север!B4</f>
        <v>110</v>
      </c>
      <c r="D77" s="29">
        <f>Север!C4</f>
        <v>18</v>
      </c>
      <c r="E77" s="29">
        <f>Север!D4</f>
        <v>4</v>
      </c>
      <c r="F77" s="29">
        <f>Север!E4</f>
        <v>1980</v>
      </c>
      <c r="G77" s="29" t="str">
        <f>Север!F4</f>
        <v>&lt;&lt;ООО&gt;&gt;"Зарница"</v>
      </c>
      <c r="H77" s="30">
        <f>Север!G4</f>
        <v>46070</v>
      </c>
      <c r="I77" s="30">
        <f>Север!H4</f>
        <v>46070</v>
      </c>
      <c r="J77" s="30">
        <f>Север!I4</f>
        <v>46075</v>
      </c>
      <c r="K77" s="29" t="str">
        <f>Север!J4</f>
        <v>Дост. в срок</v>
      </c>
      <c r="L77" s="27">
        <f t="shared" si="5"/>
        <v>22</v>
      </c>
    </row>
    <row r="78" spans="1:12" x14ac:dyDescent="0.3">
      <c r="A78" s="25" t="str">
        <f t="shared" si="4"/>
        <v>Север</v>
      </c>
      <c r="B78" s="29" t="str">
        <f>Север!A21</f>
        <v>Редис</v>
      </c>
      <c r="C78" s="29">
        <f>Север!B21</f>
        <v>120</v>
      </c>
      <c r="D78" s="29">
        <f>Север!C21</f>
        <v>16</v>
      </c>
      <c r="E78" s="29">
        <f>Север!D21</f>
        <v>4</v>
      </c>
      <c r="F78" s="29">
        <f>Север!E21</f>
        <v>1920</v>
      </c>
      <c r="G78" s="29" t="str">
        <f>Север!F21</f>
        <v>&lt;&lt;ООО&gt;&gt;"Зарница"</v>
      </c>
      <c r="H78" s="30">
        <f>Север!G21</f>
        <v>46070</v>
      </c>
      <c r="I78" s="30">
        <f>Север!H21</f>
        <v>46070</v>
      </c>
      <c r="J78" s="30">
        <f>Север!I21</f>
        <v>46076</v>
      </c>
      <c r="K78" s="29" t="str">
        <f>Север!J21</f>
        <v>Дост. в срок</v>
      </c>
      <c r="L78" s="27">
        <f t="shared" si="5"/>
        <v>20</v>
      </c>
    </row>
    <row r="79" spans="1:12" x14ac:dyDescent="0.3">
      <c r="A79" s="25" t="str">
        <f t="shared" si="4"/>
        <v>Север</v>
      </c>
      <c r="B79" s="29" t="str">
        <f>Север!A7</f>
        <v>Брюква</v>
      </c>
      <c r="C79" s="29">
        <f>Север!B7</f>
        <v>113</v>
      </c>
      <c r="D79" s="29">
        <f>Север!C7</f>
        <v>16</v>
      </c>
      <c r="E79" s="29">
        <f>Север!D7</f>
        <v>4</v>
      </c>
      <c r="F79" s="29">
        <f>Север!E7</f>
        <v>1808</v>
      </c>
      <c r="G79" s="29" t="str">
        <f>Север!F7</f>
        <v>&lt;&lt;ООО&gt;&gt;"Зарница"</v>
      </c>
      <c r="H79" s="30">
        <f>Север!G7</f>
        <v>46070</v>
      </c>
      <c r="I79" s="30">
        <f>Север!H7</f>
        <v>46070</v>
      </c>
      <c r="J79" s="30">
        <f>Север!I7</f>
        <v>46072</v>
      </c>
      <c r="K79" s="29" t="str">
        <f>Север!J7</f>
        <v>Дост. в срок</v>
      </c>
      <c r="L79" s="27">
        <f t="shared" si="5"/>
        <v>20</v>
      </c>
    </row>
    <row r="80" spans="1:12" x14ac:dyDescent="0.3">
      <c r="A80" s="25" t="str">
        <f t="shared" si="4"/>
        <v>Север</v>
      </c>
      <c r="B80" s="29" t="str">
        <f>Север!A8</f>
        <v>Горох</v>
      </c>
      <c r="C80" s="29">
        <f>Север!B8</f>
        <v>120</v>
      </c>
      <c r="D80" s="29">
        <f>Север!C8</f>
        <v>15</v>
      </c>
      <c r="E80" s="29">
        <f>Север!D8</f>
        <v>3</v>
      </c>
      <c r="F80" s="29">
        <f>Север!E8</f>
        <v>1800</v>
      </c>
      <c r="G80" s="29" t="str">
        <f>Север!F8</f>
        <v>&lt;&lt;ООО&gt;&gt;"Зарница"</v>
      </c>
      <c r="H80" s="30">
        <f>Север!G8</f>
        <v>46070</v>
      </c>
      <c r="I80" s="30">
        <f>Север!H8</f>
        <v>46070</v>
      </c>
      <c r="J80" s="30">
        <f>Север!I8</f>
        <v>46075</v>
      </c>
      <c r="K80" s="29" t="str">
        <f>Север!J8</f>
        <v>Дост. в срок</v>
      </c>
      <c r="L80" s="27">
        <f t="shared" si="5"/>
        <v>18</v>
      </c>
    </row>
    <row r="81" spans="1:12" x14ac:dyDescent="0.3">
      <c r="A81" s="25" t="str">
        <f t="shared" si="4"/>
        <v>Север</v>
      </c>
      <c r="B81" s="29" t="str">
        <f>Север!A26</f>
        <v>Спаржа</v>
      </c>
      <c r="C81" s="29">
        <f>Север!B26</f>
        <v>163</v>
      </c>
      <c r="D81" s="29">
        <f>Север!C26</f>
        <v>11</v>
      </c>
      <c r="E81" s="29">
        <f>Север!D26</f>
        <v>2</v>
      </c>
      <c r="F81" s="29">
        <f>Север!E26</f>
        <v>1793</v>
      </c>
      <c r="G81" s="29" t="str">
        <f>Север!F26</f>
        <v>"Japfruit ComLTD"</v>
      </c>
      <c r="H81" s="30">
        <f>Север!G26</f>
        <v>46071</v>
      </c>
      <c r="I81" s="30">
        <f>Север!H26</f>
        <v>46071</v>
      </c>
      <c r="J81" s="30">
        <f>Север!I26</f>
        <v>46075</v>
      </c>
      <c r="K81" s="29" t="str">
        <f>Север!J26</f>
        <v>Дост. в срок</v>
      </c>
      <c r="L81" s="27">
        <f t="shared" si="5"/>
        <v>13</v>
      </c>
    </row>
    <row r="82" spans="1:12" x14ac:dyDescent="0.3">
      <c r="A82" s="25" t="str">
        <f t="shared" si="4"/>
        <v>Север</v>
      </c>
      <c r="B82" s="29" t="str">
        <f>Север!A23</f>
        <v>Репа</v>
      </c>
      <c r="C82" s="29">
        <f>Север!B23</f>
        <v>90</v>
      </c>
      <c r="D82" s="29">
        <f>Север!C23</f>
        <v>19</v>
      </c>
      <c r="E82" s="29">
        <f>Север!D23</f>
        <v>4</v>
      </c>
      <c r="F82" s="29">
        <f>Север!E23</f>
        <v>1710</v>
      </c>
      <c r="G82" s="29" t="str">
        <f>Север!F23</f>
        <v>&lt;&lt;ООО&gt;&gt;"Зарница"</v>
      </c>
      <c r="H82" s="30">
        <f>Север!G23</f>
        <v>46070</v>
      </c>
      <c r="I82" s="30">
        <f>Север!H23</f>
        <v>46070</v>
      </c>
      <c r="J82" s="30">
        <f>Север!I23</f>
        <v>46076</v>
      </c>
      <c r="K82" s="29" t="str">
        <f>Север!J23</f>
        <v>Дост. в срок</v>
      </c>
      <c r="L82" s="27">
        <f t="shared" si="5"/>
        <v>23</v>
      </c>
    </row>
    <row r="83" spans="1:12" x14ac:dyDescent="0.3">
      <c r="A83" s="25" t="str">
        <f t="shared" si="4"/>
        <v>Север</v>
      </c>
      <c r="B83" s="29" t="str">
        <f>Север!A6</f>
        <v>Брокколи</v>
      </c>
      <c r="C83" s="29">
        <f>Север!B6</f>
        <v>170</v>
      </c>
      <c r="D83" s="29">
        <f>Север!C6</f>
        <v>10</v>
      </c>
      <c r="E83" s="29">
        <f>Север!D6</f>
        <v>2</v>
      </c>
      <c r="F83" s="29">
        <f>Север!E6</f>
        <v>1700</v>
      </c>
      <c r="G83" s="29" t="str">
        <f>Север!F6</f>
        <v>&lt;&lt;ООО&gt;&gt;"Зарница"</v>
      </c>
      <c r="H83" s="30">
        <f>Север!G6</f>
        <v>46070</v>
      </c>
      <c r="I83" s="30">
        <f>Север!H6</f>
        <v>46070</v>
      </c>
      <c r="J83" s="30">
        <f>Север!I6</f>
        <v>46072</v>
      </c>
      <c r="K83" s="29" t="str">
        <f>Север!J6</f>
        <v>Дост. в срок</v>
      </c>
      <c r="L83" s="27">
        <f t="shared" si="5"/>
        <v>12</v>
      </c>
    </row>
    <row r="84" spans="1:12" x14ac:dyDescent="0.3">
      <c r="A84" s="25" t="str">
        <f t="shared" si="4"/>
        <v>Север</v>
      </c>
      <c r="B84" s="29" t="str">
        <f>Север!A11</f>
        <v>Капуста</v>
      </c>
      <c r="C84" s="29">
        <f>Север!B11</f>
        <v>90</v>
      </c>
      <c r="D84" s="29">
        <f>Север!C11</f>
        <v>18</v>
      </c>
      <c r="E84" s="29">
        <f>Север!D11</f>
        <v>4</v>
      </c>
      <c r="F84" s="29">
        <f>Север!E11</f>
        <v>1620</v>
      </c>
      <c r="G84" s="29" t="str">
        <f>Север!F11</f>
        <v>&lt;&lt;ООО&gt;&gt;"Зарница"</v>
      </c>
      <c r="H84" s="30">
        <f>Север!G11</f>
        <v>46070</v>
      </c>
      <c r="I84" s="30">
        <f>Север!H11</f>
        <v>46070</v>
      </c>
      <c r="J84" s="30">
        <f>Север!I11</f>
        <v>46076</v>
      </c>
      <c r="K84" s="29" t="str">
        <f>Север!J11</f>
        <v>Дост. в срок</v>
      </c>
      <c r="L84" s="27">
        <f t="shared" si="5"/>
        <v>22</v>
      </c>
    </row>
    <row r="85" spans="1:12" x14ac:dyDescent="0.3">
      <c r="A85" s="25" t="str">
        <f t="shared" si="4"/>
        <v>Север</v>
      </c>
      <c r="B85" s="29" t="str">
        <f>Север!A30</f>
        <v>Чеснок</v>
      </c>
      <c r="C85" s="29">
        <f>Север!B30</f>
        <v>70</v>
      </c>
      <c r="D85" s="29">
        <f>Север!C30</f>
        <v>20</v>
      </c>
      <c r="E85" s="29">
        <f>Север!D30</f>
        <v>5</v>
      </c>
      <c r="F85" s="29">
        <f>Север!E30</f>
        <v>1400</v>
      </c>
      <c r="G85" s="29" t="str">
        <f>Север!F30</f>
        <v>&lt;&lt;ООО&gt;&gt;"Зарница"</v>
      </c>
      <c r="H85" s="30">
        <f>Север!G30</f>
        <v>46070</v>
      </c>
      <c r="I85" s="30">
        <f>Север!H30</f>
        <v>46070</v>
      </c>
      <c r="J85" s="30">
        <f>Север!I30</f>
        <v>46075</v>
      </c>
      <c r="K85" s="29" t="str">
        <f>Север!J30</f>
        <v>Дост. в срок</v>
      </c>
      <c r="L85" s="27">
        <f t="shared" si="5"/>
        <v>25</v>
      </c>
    </row>
    <row r="86" spans="1:12" x14ac:dyDescent="0.3">
      <c r="A86" s="25" t="str">
        <f t="shared" si="4"/>
        <v>Север</v>
      </c>
      <c r="B86" s="29" t="str">
        <f>Север!A27</f>
        <v>Топинамбур</v>
      </c>
      <c r="C86" s="29">
        <f>Север!B27</f>
        <v>105</v>
      </c>
      <c r="D86" s="29">
        <f>Север!C27</f>
        <v>13</v>
      </c>
      <c r="E86" s="29">
        <f>Север!D27</f>
        <v>3</v>
      </c>
      <c r="F86" s="29">
        <f>Север!E27</f>
        <v>1365</v>
      </c>
      <c r="G86" s="29" t="str">
        <f>Север!F27</f>
        <v>"Japfruit ComLTD"</v>
      </c>
      <c r="H86" s="30">
        <f>Север!G27</f>
        <v>46071</v>
      </c>
      <c r="I86" s="30">
        <f>Север!H27</f>
        <v>46071</v>
      </c>
      <c r="J86" s="30">
        <f>Север!I27</f>
        <v>46076</v>
      </c>
      <c r="K86" s="29" t="str">
        <f>Север!J27</f>
        <v>Дост. в срок</v>
      </c>
      <c r="L86" s="27">
        <f t="shared" si="5"/>
        <v>16</v>
      </c>
    </row>
    <row r="87" spans="1:12" x14ac:dyDescent="0.3">
      <c r="A87" s="25" t="str">
        <f t="shared" si="4"/>
        <v>Север</v>
      </c>
      <c r="B87" s="29" t="str">
        <f>Север!A18</f>
        <v>Патиссон</v>
      </c>
      <c r="C87" s="29">
        <f>Север!B18</f>
        <v>96</v>
      </c>
      <c r="D87" s="29">
        <f>Север!C18</f>
        <v>14</v>
      </c>
      <c r="E87" s="29">
        <f>Север!D18</f>
        <v>3</v>
      </c>
      <c r="F87" s="29">
        <f>Север!E18</f>
        <v>1344</v>
      </c>
      <c r="G87" s="29" t="str">
        <f>Север!F18</f>
        <v>&lt;&lt;ООО&gt;&gt;"Зарница"</v>
      </c>
      <c r="H87" s="30">
        <f>Север!G18</f>
        <v>46070</v>
      </c>
      <c r="I87" s="30">
        <f>Север!H18</f>
        <v>46070</v>
      </c>
      <c r="J87" s="30">
        <f>Север!I18</f>
        <v>46076</v>
      </c>
      <c r="K87" s="29" t="str">
        <f>Север!J18</f>
        <v>Дост. в срок</v>
      </c>
      <c r="L87" s="27">
        <f t="shared" si="5"/>
        <v>17</v>
      </c>
    </row>
    <row r="88" spans="1:12" x14ac:dyDescent="0.3">
      <c r="A88" s="25" t="str">
        <f t="shared" si="4"/>
        <v>Север</v>
      </c>
      <c r="B88" s="29" t="str">
        <f>Север!A10</f>
        <v>Дайкон</v>
      </c>
      <c r="C88" s="29">
        <f>Север!B10</f>
        <v>130</v>
      </c>
      <c r="D88" s="29">
        <f>Север!C10</f>
        <v>10</v>
      </c>
      <c r="E88" s="29">
        <f>Север!D10</f>
        <v>2</v>
      </c>
      <c r="F88" s="29">
        <f>Север!E10</f>
        <v>1300</v>
      </c>
      <c r="G88" s="29" t="str">
        <f>Север!F10</f>
        <v>"Japfruit ComLTD"</v>
      </c>
      <c r="H88" s="30">
        <f>Север!G10</f>
        <v>46071</v>
      </c>
      <c r="I88" s="30">
        <f>Север!H10</f>
        <v>46071</v>
      </c>
      <c r="J88" s="30">
        <f>Север!I10</f>
        <v>46072</v>
      </c>
      <c r="K88" s="29" t="str">
        <f>Север!J10</f>
        <v>Дост. в срок</v>
      </c>
      <c r="L88" s="27">
        <f t="shared" si="5"/>
        <v>12</v>
      </c>
    </row>
    <row r="89" spans="1:12" x14ac:dyDescent="0.3">
      <c r="A89" s="25" t="str">
        <f t="shared" si="4"/>
        <v>Север</v>
      </c>
      <c r="B89" s="29" t="str">
        <f>Север!A14</f>
        <v>Кукуруза</v>
      </c>
      <c r="C89" s="29">
        <f>Север!B14</f>
        <v>76</v>
      </c>
      <c r="D89" s="29">
        <f>Север!C14</f>
        <v>15</v>
      </c>
      <c r="E89" s="29">
        <f>Север!D14</f>
        <v>3</v>
      </c>
      <c r="F89" s="29">
        <f>Север!E14</f>
        <v>1140</v>
      </c>
      <c r="G89" s="29" t="str">
        <f>Север!F14</f>
        <v>&lt;&lt;ООО&gt;&gt;"Зарница"</v>
      </c>
      <c r="H89" s="30">
        <f>Север!G14</f>
        <v>46070</v>
      </c>
      <c r="I89" s="30">
        <f>Север!H14</f>
        <v>46070</v>
      </c>
      <c r="J89" s="30">
        <f>Север!I14</f>
        <v>46076</v>
      </c>
      <c r="K89" s="29" t="str">
        <f>Север!J14</f>
        <v>Дост. в срок</v>
      </c>
      <c r="L89" s="27">
        <f t="shared" si="5"/>
        <v>18</v>
      </c>
    </row>
    <row r="90" spans="1:12" x14ac:dyDescent="0.3">
      <c r="A90" s="25" t="str">
        <f t="shared" si="4"/>
        <v>Север</v>
      </c>
      <c r="B90" s="29" t="str">
        <f>Север!A22</f>
        <v>Редька</v>
      </c>
      <c r="C90" s="29">
        <f>Север!B22</f>
        <v>90</v>
      </c>
      <c r="D90" s="29">
        <f>Север!C22</f>
        <v>12</v>
      </c>
      <c r="E90" s="29">
        <f>Север!D22</f>
        <v>3</v>
      </c>
      <c r="F90" s="29">
        <f>Север!E22</f>
        <v>1080</v>
      </c>
      <c r="G90" s="29" t="str">
        <f>Север!F22</f>
        <v>&lt;&lt;ООО&gt;&gt;"Зарница"</v>
      </c>
      <c r="H90" s="30">
        <f>Север!G22</f>
        <v>46070</v>
      </c>
      <c r="I90" s="30">
        <f>Север!H22</f>
        <v>46070</v>
      </c>
      <c r="J90" s="30">
        <f>Север!I22</f>
        <v>46076</v>
      </c>
      <c r="K90" s="29" t="str">
        <f>Север!J22</f>
        <v>Дост. в срок</v>
      </c>
      <c r="L90" s="27">
        <f t="shared" si="5"/>
        <v>15</v>
      </c>
    </row>
    <row r="91" spans="1:12" x14ac:dyDescent="0.3">
      <c r="A91" s="25" t="str">
        <f t="shared" si="4"/>
        <v>Север</v>
      </c>
      <c r="B91" s="29" t="str">
        <f>Север!A25</f>
        <v>Сельдерей</v>
      </c>
      <c r="C91" s="29">
        <f>Север!B25</f>
        <v>120</v>
      </c>
      <c r="D91" s="29">
        <f>Север!C25</f>
        <v>2</v>
      </c>
      <c r="E91" s="29">
        <f>Север!D25</f>
        <v>0</v>
      </c>
      <c r="F91" s="29">
        <f>Север!E25</f>
        <v>240</v>
      </c>
      <c r="G91" s="29" t="str">
        <f>Север!F25</f>
        <v>"Japfruit ComLTD"</v>
      </c>
      <c r="H91" s="30">
        <f>Север!G25</f>
        <v>46071</v>
      </c>
      <c r="I91" s="30">
        <f>Север!H25</f>
        <v>46071</v>
      </c>
      <c r="J91" s="30">
        <f>Север!I25</f>
        <v>46075</v>
      </c>
      <c r="K91" s="29" t="str">
        <f>Север!J25</f>
        <v>Дост. в срок</v>
      </c>
      <c r="L91" s="27">
        <f t="shared" si="5"/>
        <v>2</v>
      </c>
    </row>
    <row r="92" spans="1:12" x14ac:dyDescent="0.3">
      <c r="A92" s="25" t="str">
        <f t="shared" ref="A92:A121" si="6">"Юг"</f>
        <v>Юг</v>
      </c>
      <c r="B92" s="29" t="str">
        <f>Юг!A12</f>
        <v>Спаржа</v>
      </c>
      <c r="C92" s="29">
        <f>Юг!B12</f>
        <v>163</v>
      </c>
      <c r="D92" s="29">
        <f>Юг!C12</f>
        <v>5</v>
      </c>
      <c r="E92" s="29">
        <f>Юг!D12</f>
        <v>1</v>
      </c>
      <c r="F92" s="29">
        <f>Юг!E12</f>
        <v>815</v>
      </c>
      <c r="G92" s="29" t="str">
        <f>Юг!F12</f>
        <v>"Japfruit ComLTD"</v>
      </c>
      <c r="H92" s="30">
        <f>Юг!G12</f>
        <v>46071</v>
      </c>
      <c r="I92" s="30">
        <f>Юг!H12</f>
        <v>46071</v>
      </c>
      <c r="J92" s="30">
        <f>Юг!I12</f>
        <v>46077</v>
      </c>
      <c r="K92" s="29" t="str">
        <f>Юг!J12</f>
        <v>Дост. в срок</v>
      </c>
      <c r="L92" s="27">
        <f t="shared" si="5"/>
        <v>6</v>
      </c>
    </row>
    <row r="93" spans="1:12" x14ac:dyDescent="0.3">
      <c r="A93" s="25" t="str">
        <f t="shared" si="6"/>
        <v>Юг</v>
      </c>
      <c r="B93" s="29" t="str">
        <f>Юг!A20</f>
        <v>Кукуруза</v>
      </c>
      <c r="C93" s="29">
        <f>Юг!B20</f>
        <v>70</v>
      </c>
      <c r="D93" s="29">
        <f>Юг!C20</f>
        <v>25</v>
      </c>
      <c r="E93" s="29">
        <f>Юг!D20</f>
        <v>6</v>
      </c>
      <c r="F93" s="29">
        <f>Юг!E20</f>
        <v>1750</v>
      </c>
      <c r="G93" s="29" t="str">
        <f>Юг!F20</f>
        <v>&lt;&lt;ООО&gt;&gt;"Зарница"</v>
      </c>
      <c r="H93" s="30">
        <f>Юг!G20</f>
        <v>46070</v>
      </c>
      <c r="I93" s="30">
        <f>Юг!H20</f>
        <v>46070</v>
      </c>
      <c r="J93" s="30">
        <f>Юг!I20</f>
        <v>46076</v>
      </c>
      <c r="K93" s="29" t="str">
        <f>Юг!J20</f>
        <v>Дост. в срок</v>
      </c>
      <c r="L93" s="27">
        <f t="shared" si="5"/>
        <v>31</v>
      </c>
    </row>
    <row r="94" spans="1:12" x14ac:dyDescent="0.3">
      <c r="A94" s="25" t="str">
        <f t="shared" si="6"/>
        <v>Юг</v>
      </c>
      <c r="B94" s="29" t="str">
        <f>Юг!A16</f>
        <v>Брюква</v>
      </c>
      <c r="C94" s="29">
        <f>Юг!B16</f>
        <v>150</v>
      </c>
      <c r="D94" s="29">
        <f>Юг!C16</f>
        <v>10</v>
      </c>
      <c r="E94" s="29">
        <f>Юг!D16</f>
        <v>2</v>
      </c>
      <c r="F94" s="29">
        <f>Юг!E16</f>
        <v>1500</v>
      </c>
      <c r="G94" s="29" t="str">
        <f>Юг!F16</f>
        <v>&lt;&lt;ООО&gt;&gt;"Зарница"</v>
      </c>
      <c r="H94" s="30">
        <f>Юг!G16</f>
        <v>46070</v>
      </c>
      <c r="I94" s="30">
        <f>Юг!H16</f>
        <v>46070</v>
      </c>
      <c r="J94" s="30">
        <f>Юг!I16</f>
        <v>46072</v>
      </c>
      <c r="K94" s="29" t="str">
        <f>Юг!J16</f>
        <v>Дост. в срок</v>
      </c>
      <c r="L94" s="27">
        <f t="shared" si="5"/>
        <v>12</v>
      </c>
    </row>
    <row r="95" spans="1:12" x14ac:dyDescent="0.3">
      <c r="A95" s="25" t="str">
        <f t="shared" si="6"/>
        <v>Юг</v>
      </c>
      <c r="B95" s="29" t="str">
        <f>Юг!A28</f>
        <v>Репа</v>
      </c>
      <c r="C95" s="29">
        <f>Юг!B28</f>
        <v>82</v>
      </c>
      <c r="D95" s="29">
        <f>Юг!C28</f>
        <v>19</v>
      </c>
      <c r="E95" s="29">
        <f>Юг!D28</f>
        <v>4</v>
      </c>
      <c r="F95" s="29">
        <f>Юг!E28</f>
        <v>1558</v>
      </c>
      <c r="G95" s="29" t="str">
        <f>Юг!F28</f>
        <v>&lt;&lt;ООО&gt;&gt;"Зарница"</v>
      </c>
      <c r="H95" s="30">
        <f>Юг!G28</f>
        <v>46070</v>
      </c>
      <c r="I95" s="30">
        <f>Юг!H28</f>
        <v>46070</v>
      </c>
      <c r="J95" s="30">
        <f>Юг!I28</f>
        <v>46076</v>
      </c>
      <c r="K95" s="29" t="str">
        <f>Юг!J28</f>
        <v>Дост. в срок</v>
      </c>
      <c r="L95" s="27">
        <f t="shared" si="5"/>
        <v>23</v>
      </c>
    </row>
    <row r="96" spans="1:12" x14ac:dyDescent="0.3">
      <c r="A96" s="25" t="str">
        <f t="shared" si="6"/>
        <v>Юг</v>
      </c>
      <c r="B96" s="29" t="str">
        <f>Юг!A24</f>
        <v>Патиссон</v>
      </c>
      <c r="C96" s="29">
        <f>Юг!B24</f>
        <v>96</v>
      </c>
      <c r="D96" s="29">
        <f>Юг!C24</f>
        <v>20</v>
      </c>
      <c r="E96" s="29">
        <f>Юг!D24</f>
        <v>5</v>
      </c>
      <c r="F96" s="29">
        <f>Юг!E24</f>
        <v>1920</v>
      </c>
      <c r="G96" s="29" t="str">
        <f>Юг!F24</f>
        <v>&lt;&lt;ООО&gt;&gt;"Зарница"</v>
      </c>
      <c r="H96" s="30">
        <f>Юг!G24</f>
        <v>46070</v>
      </c>
      <c r="I96" s="30">
        <f>Юг!H24</f>
        <v>46070</v>
      </c>
      <c r="J96" s="30">
        <f>Юг!I24</f>
        <v>46076</v>
      </c>
      <c r="K96" s="29" t="str">
        <f>Юг!J24</f>
        <v>Дост. в срок</v>
      </c>
      <c r="L96" s="27">
        <f t="shared" si="5"/>
        <v>25</v>
      </c>
    </row>
    <row r="97" spans="1:12" x14ac:dyDescent="0.3">
      <c r="A97" s="25" t="str">
        <f t="shared" si="6"/>
        <v>Юг</v>
      </c>
      <c r="B97" s="29" t="str">
        <f>Юг!A2</f>
        <v>Абрикосы</v>
      </c>
      <c r="C97" s="29">
        <f>Юг!B2</f>
        <v>170</v>
      </c>
      <c r="D97" s="29">
        <f>Юг!C2</f>
        <v>20</v>
      </c>
      <c r="E97" s="29">
        <f>Юг!D2</f>
        <v>5</v>
      </c>
      <c r="F97" s="29">
        <f>Юг!E2</f>
        <v>3400</v>
      </c>
      <c r="G97" s="29" t="str">
        <f>Юг!F2</f>
        <v>"ChinaKO TM"</v>
      </c>
      <c r="H97" s="30">
        <f>Юг!G2</f>
        <v>46073</v>
      </c>
      <c r="I97" s="30">
        <f>Юг!H2</f>
        <v>46072</v>
      </c>
      <c r="J97" s="30">
        <f>Юг!I2</f>
        <v>46072</v>
      </c>
      <c r="K97" s="29" t="str">
        <f>Юг!J2</f>
        <v>Просрочена</v>
      </c>
      <c r="L97" s="27">
        <f t="shared" si="5"/>
        <v>25</v>
      </c>
    </row>
    <row r="98" spans="1:12" x14ac:dyDescent="0.3">
      <c r="A98" s="25" t="str">
        <f t="shared" si="6"/>
        <v>Юг</v>
      </c>
      <c r="B98" s="29" t="str">
        <f>Юг!A3</f>
        <v>Груши</v>
      </c>
      <c r="C98" s="29">
        <f>Юг!B3</f>
        <v>123</v>
      </c>
      <c r="D98" s="29">
        <f>Юг!C3</f>
        <v>12</v>
      </c>
      <c r="E98" s="29">
        <f>Юг!D3</f>
        <v>3</v>
      </c>
      <c r="F98" s="29">
        <f>Юг!E3</f>
        <v>1476</v>
      </c>
      <c r="G98" s="29" t="str">
        <f>Юг!F3</f>
        <v>"ChinaKO TM"</v>
      </c>
      <c r="H98" s="30">
        <f>Юг!G3</f>
        <v>46073</v>
      </c>
      <c r="I98" s="30">
        <f>Юг!H3</f>
        <v>46072</v>
      </c>
      <c r="J98" s="30">
        <f>Юг!I3</f>
        <v>46075</v>
      </c>
      <c r="K98" s="29" t="str">
        <f>Юг!J3</f>
        <v>Просрочена</v>
      </c>
      <c r="L98" s="27">
        <f t="shared" si="5"/>
        <v>15</v>
      </c>
    </row>
    <row r="99" spans="1:12" x14ac:dyDescent="0.3">
      <c r="A99" s="25" t="str">
        <f t="shared" si="6"/>
        <v>Юг</v>
      </c>
      <c r="B99" s="29" t="str">
        <f>Юг!A15</f>
        <v>Брокколи</v>
      </c>
      <c r="C99" s="29">
        <f>Юг!B15</f>
        <v>150</v>
      </c>
      <c r="D99" s="29">
        <f>Юг!C15</f>
        <v>14</v>
      </c>
      <c r="E99" s="29">
        <f>Юг!D15</f>
        <v>3</v>
      </c>
      <c r="F99" s="29">
        <f>Юг!E15</f>
        <v>2100</v>
      </c>
      <c r="G99" s="29" t="str">
        <f>Юг!F15</f>
        <v>&lt;&lt;ООО&gt;&gt;"Зарница"</v>
      </c>
      <c r="H99" s="30">
        <f>Юг!G15</f>
        <v>46070</v>
      </c>
      <c r="I99" s="30">
        <f>Юг!H15</f>
        <v>46070</v>
      </c>
      <c r="J99" s="30">
        <f>Юг!I15</f>
        <v>46072</v>
      </c>
      <c r="K99" s="29" t="str">
        <f>Юг!J15</f>
        <v>Дост. в срок</v>
      </c>
      <c r="L99" s="27">
        <f t="shared" si="5"/>
        <v>17</v>
      </c>
    </row>
    <row r="100" spans="1:12" x14ac:dyDescent="0.3">
      <c r="A100" s="25" t="str">
        <f t="shared" si="6"/>
        <v>Юг</v>
      </c>
      <c r="B100" s="29" t="str">
        <f>Юг!A4</f>
        <v>Персики</v>
      </c>
      <c r="C100" s="29">
        <f>Юг!B4</f>
        <v>100</v>
      </c>
      <c r="D100" s="29">
        <f>Юг!C4</f>
        <v>18</v>
      </c>
      <c r="E100" s="29">
        <f>Юг!D4</f>
        <v>4</v>
      </c>
      <c r="F100" s="29">
        <f>Юг!E4</f>
        <v>1800</v>
      </c>
      <c r="G100" s="29" t="str">
        <f>Юг!F4</f>
        <v>"ChinaKO TM"</v>
      </c>
      <c r="H100" s="30">
        <f>Юг!G4</f>
        <v>46073</v>
      </c>
      <c r="I100" s="30">
        <f>Юг!H4</f>
        <v>46072</v>
      </c>
      <c r="J100" s="30">
        <f>Юг!I4</f>
        <v>46072</v>
      </c>
      <c r="K100" s="29" t="str">
        <f>Юг!J4</f>
        <v>Просрочена</v>
      </c>
      <c r="L100" s="27">
        <f t="shared" ref="L100:L121" si="7">D100+E100</f>
        <v>22</v>
      </c>
    </row>
    <row r="101" spans="1:12" x14ac:dyDescent="0.3">
      <c r="A101" s="25" t="str">
        <f t="shared" si="6"/>
        <v>Юг</v>
      </c>
      <c r="B101" s="29" t="str">
        <f>Юг!A31</f>
        <v>Чеснок</v>
      </c>
      <c r="C101" s="29">
        <f>Юг!B31</f>
        <v>42</v>
      </c>
      <c r="D101" s="29">
        <f>Юг!C31</f>
        <v>30</v>
      </c>
      <c r="E101" s="29">
        <f>Юг!D31</f>
        <v>7</v>
      </c>
      <c r="F101" s="29">
        <f>Юг!E31</f>
        <v>1260</v>
      </c>
      <c r="G101" s="29" t="str">
        <f>Юг!F31</f>
        <v>&lt;&lt;ООО&gt;&gt;"Зарница"</v>
      </c>
      <c r="H101" s="30">
        <f>Юг!G31</f>
        <v>46070</v>
      </c>
      <c r="I101" s="30">
        <f>Юг!H31</f>
        <v>46070</v>
      </c>
      <c r="J101" s="30">
        <f>Юг!I31</f>
        <v>46077</v>
      </c>
      <c r="K101" s="29" t="str">
        <f>Юг!J31</f>
        <v>Дост. в срок</v>
      </c>
      <c r="L101" s="27">
        <f t="shared" si="7"/>
        <v>37</v>
      </c>
    </row>
    <row r="102" spans="1:12" x14ac:dyDescent="0.3">
      <c r="A102" s="25" t="str">
        <f t="shared" si="6"/>
        <v>Юг</v>
      </c>
      <c r="B102" s="29" t="str">
        <f>Юг!A5</f>
        <v>Черешня</v>
      </c>
      <c r="C102" s="29">
        <f>Юг!B5</f>
        <v>190</v>
      </c>
      <c r="D102" s="29">
        <f>Юг!C5</f>
        <v>12</v>
      </c>
      <c r="E102" s="29">
        <f>Юг!D5</f>
        <v>3</v>
      </c>
      <c r="F102" s="29">
        <f>Юг!E5</f>
        <v>2280</v>
      </c>
      <c r="G102" s="29" t="str">
        <f>Юг!F5</f>
        <v>"ChinaKO TM"</v>
      </c>
      <c r="H102" s="30">
        <f>Юг!G5</f>
        <v>46073</v>
      </c>
      <c r="I102" s="30">
        <f>Юг!H5</f>
        <v>46072</v>
      </c>
      <c r="J102" s="30">
        <f>Юг!I5</f>
        <v>46072</v>
      </c>
      <c r="K102" s="29" t="str">
        <f>Юг!J5</f>
        <v>Просрочена</v>
      </c>
      <c r="L102" s="27">
        <f t="shared" si="7"/>
        <v>15</v>
      </c>
    </row>
    <row r="103" spans="1:12" x14ac:dyDescent="0.3">
      <c r="A103" s="25" t="str">
        <f t="shared" si="6"/>
        <v>Юг</v>
      </c>
      <c r="B103" s="29" t="str">
        <f>Юг!A17</f>
        <v>Горох</v>
      </c>
      <c r="C103" s="29">
        <f>Юг!B17</f>
        <v>102</v>
      </c>
      <c r="D103" s="29">
        <f>Юг!C17</f>
        <v>10</v>
      </c>
      <c r="E103" s="29">
        <f>Юг!D17</f>
        <v>2</v>
      </c>
      <c r="F103" s="29">
        <f>Юг!E17</f>
        <v>1020</v>
      </c>
      <c r="G103" s="29" t="str">
        <f>Юг!F17</f>
        <v>&lt;&lt;ООО&gt;&gt;"Зарница"</v>
      </c>
      <c r="H103" s="30">
        <f>Юг!G17</f>
        <v>46070</v>
      </c>
      <c r="I103" s="30">
        <f>Юг!H17</f>
        <v>46070</v>
      </c>
      <c r="J103" s="30">
        <f>Юг!I17</f>
        <v>46075</v>
      </c>
      <c r="K103" s="29" t="str">
        <f>Юг!J17</f>
        <v>Дост. в срок</v>
      </c>
      <c r="L103" s="27">
        <f t="shared" si="7"/>
        <v>12</v>
      </c>
    </row>
    <row r="104" spans="1:12" x14ac:dyDescent="0.3">
      <c r="A104" s="25" t="str">
        <f t="shared" si="6"/>
        <v>Юг</v>
      </c>
      <c r="B104" s="29" t="str">
        <f>Юг!A29</f>
        <v>Свекла</v>
      </c>
      <c r="C104" s="29">
        <f>Юг!B29</f>
        <v>78</v>
      </c>
      <c r="D104" s="29">
        <f>Юг!C29</f>
        <v>54</v>
      </c>
      <c r="E104" s="29">
        <f>Юг!D29</f>
        <v>13</v>
      </c>
      <c r="F104" s="29">
        <f>Юг!E29</f>
        <v>4212</v>
      </c>
      <c r="G104" s="29" t="str">
        <f>Юг!F29</f>
        <v>&lt;&lt;ООО&gt;&gt;"Зарница"</v>
      </c>
      <c r="H104" s="30">
        <f>Юг!G29</f>
        <v>46070</v>
      </c>
      <c r="I104" s="30">
        <f>Юг!H29</f>
        <v>46070</v>
      </c>
      <c r="J104" s="30">
        <f>Юг!I29</f>
        <v>46076</v>
      </c>
      <c r="K104" s="29" t="str">
        <f>Юг!J29</f>
        <v>Дост. в срок</v>
      </c>
      <c r="L104" s="27">
        <f t="shared" si="7"/>
        <v>67</v>
      </c>
    </row>
    <row r="105" spans="1:12" x14ac:dyDescent="0.3">
      <c r="A105" s="25" t="str">
        <f t="shared" si="6"/>
        <v>Юг</v>
      </c>
      <c r="B105" s="29" t="str">
        <f>Юг!A6</f>
        <v>Яблоки</v>
      </c>
      <c r="C105" s="29">
        <f>Юг!B6</f>
        <v>78</v>
      </c>
      <c r="D105" s="29">
        <f>Юг!C6</f>
        <v>35</v>
      </c>
      <c r="E105" s="29">
        <f>Юг!D6</f>
        <v>8</v>
      </c>
      <c r="F105" s="29">
        <f>Юг!E6</f>
        <v>2730</v>
      </c>
      <c r="G105" s="29" t="str">
        <f>Юг!F6</f>
        <v>"ChinaKO TM"</v>
      </c>
      <c r="H105" s="30">
        <f>Юг!G6</f>
        <v>46073</v>
      </c>
      <c r="I105" s="30">
        <f>Юг!H6</f>
        <v>46072</v>
      </c>
      <c r="J105" s="30">
        <f>Юг!I6</f>
        <v>46072</v>
      </c>
      <c r="K105" s="29" t="str">
        <f>Юг!J6</f>
        <v>Просрочена</v>
      </c>
      <c r="L105" s="27">
        <f t="shared" si="7"/>
        <v>43</v>
      </c>
    </row>
    <row r="106" spans="1:12" x14ac:dyDescent="0.3">
      <c r="A106" s="25" t="str">
        <f t="shared" si="6"/>
        <v>Юг</v>
      </c>
      <c r="B106" s="29" t="str">
        <f>Юг!A18</f>
        <v>Капуста</v>
      </c>
      <c r="C106" s="29">
        <f>Юг!B18</f>
        <v>76</v>
      </c>
      <c r="D106" s="29">
        <f>Юг!C18</f>
        <v>17</v>
      </c>
      <c r="E106" s="29">
        <f>Юг!D18</f>
        <v>4</v>
      </c>
      <c r="F106" s="29">
        <f>Юг!E18</f>
        <v>1292</v>
      </c>
      <c r="G106" s="29" t="str">
        <f>Юг!F18</f>
        <v>&lt;&lt;ООО&gt;&gt;"Зарница"</v>
      </c>
      <c r="H106" s="30">
        <f>Юг!G18</f>
        <v>46070</v>
      </c>
      <c r="I106" s="30">
        <f>Юг!H18</f>
        <v>46070</v>
      </c>
      <c r="J106" s="30">
        <f>Юг!I18</f>
        <v>46077</v>
      </c>
      <c r="K106" s="29" t="str">
        <f>Юг!J18</f>
        <v>Дост. в срок</v>
      </c>
      <c r="L106" s="27">
        <f t="shared" si="7"/>
        <v>21</v>
      </c>
    </row>
    <row r="107" spans="1:12" x14ac:dyDescent="0.3">
      <c r="A107" s="25" t="str">
        <f t="shared" si="6"/>
        <v>Юг</v>
      </c>
      <c r="B107" s="29" t="str">
        <f>Юг!A19</f>
        <v>Картофель</v>
      </c>
      <c r="C107" s="29">
        <f>Юг!B19</f>
        <v>56</v>
      </c>
      <c r="D107" s="29">
        <f>Юг!C19</f>
        <v>300</v>
      </c>
      <c r="E107" s="29">
        <f>Юг!D19</f>
        <v>75</v>
      </c>
      <c r="F107" s="29">
        <f>Юг!E19</f>
        <v>16800</v>
      </c>
      <c r="G107" s="29" t="str">
        <f>Юг!F19</f>
        <v>&lt;&lt;ООО&gt;&gt;"Зарница"</v>
      </c>
      <c r="H107" s="30">
        <f>Юг!G19</f>
        <v>46070</v>
      </c>
      <c r="I107" s="30">
        <f>Юг!H19</f>
        <v>46070</v>
      </c>
      <c r="J107" s="30">
        <f>Юг!I19</f>
        <v>46077</v>
      </c>
      <c r="K107" s="29" t="str">
        <f>Юг!J19</f>
        <v>Дост. в срок</v>
      </c>
      <c r="L107" s="27">
        <f t="shared" si="7"/>
        <v>375</v>
      </c>
    </row>
    <row r="108" spans="1:12" x14ac:dyDescent="0.3">
      <c r="A108" s="25" t="str">
        <f t="shared" si="6"/>
        <v>Юг</v>
      </c>
      <c r="B108" s="29" t="str">
        <f>Юг!A14</f>
        <v>Баклажан</v>
      </c>
      <c r="C108" s="29">
        <f>Юг!B14</f>
        <v>120</v>
      </c>
      <c r="D108" s="29">
        <f>Юг!C14</f>
        <v>25</v>
      </c>
      <c r="E108" s="29">
        <f>Юг!D14</f>
        <v>6</v>
      </c>
      <c r="F108" s="29">
        <f>Юг!E14</f>
        <v>3000</v>
      </c>
      <c r="G108" s="29" t="str">
        <f>Юг!F14</f>
        <v>&lt;&lt;ООО&gt;&gt;"Зарница"</v>
      </c>
      <c r="H108" s="30">
        <f>Юг!G14</f>
        <v>46070</v>
      </c>
      <c r="I108" s="30">
        <f>Юг!H14</f>
        <v>46070</v>
      </c>
      <c r="J108" s="30">
        <f>Юг!I14</f>
        <v>46077</v>
      </c>
      <c r="K108" s="29" t="str">
        <f>Юг!J14</f>
        <v>Дост. в срок</v>
      </c>
      <c r="L108" s="27">
        <f t="shared" si="7"/>
        <v>31</v>
      </c>
    </row>
    <row r="109" spans="1:12" x14ac:dyDescent="0.3">
      <c r="A109" s="25" t="str">
        <f t="shared" si="6"/>
        <v>Юг</v>
      </c>
      <c r="B109" s="29" t="str">
        <f>Юг!A22</f>
        <v>Огурцы</v>
      </c>
      <c r="C109" s="29">
        <f>Юг!B22</f>
        <v>80</v>
      </c>
      <c r="D109" s="29">
        <f>Юг!C22</f>
        <v>130</v>
      </c>
      <c r="E109" s="29">
        <f>Юг!D22</f>
        <v>32</v>
      </c>
      <c r="F109" s="29">
        <f>Юг!E22</f>
        <v>10400</v>
      </c>
      <c r="G109" s="29" t="str">
        <f>Юг!F22</f>
        <v>&lt;&lt;ООО&gt;&gt;"Зарница"</v>
      </c>
      <c r="H109" s="30">
        <f>Юг!G22</f>
        <v>46070</v>
      </c>
      <c r="I109" s="30">
        <f>Юг!H22</f>
        <v>46070</v>
      </c>
      <c r="J109" s="30">
        <f>Юг!I22</f>
        <v>46072</v>
      </c>
      <c r="K109" s="29" t="str">
        <f>Юг!J22</f>
        <v>Дост. в срок</v>
      </c>
      <c r="L109" s="27">
        <f t="shared" si="7"/>
        <v>162</v>
      </c>
    </row>
    <row r="110" spans="1:12" x14ac:dyDescent="0.3">
      <c r="A110" s="25" t="str">
        <f t="shared" si="6"/>
        <v>Юг</v>
      </c>
      <c r="B110" s="29" t="str">
        <f>Юг!A10</f>
        <v>Кольраби</v>
      </c>
      <c r="C110" s="29">
        <f>Юг!B10</f>
        <v>163</v>
      </c>
      <c r="D110" s="29">
        <f>Юг!C10</f>
        <v>8</v>
      </c>
      <c r="E110" s="29">
        <f>Юг!D10</f>
        <v>2</v>
      </c>
      <c r="F110" s="29">
        <f>Юг!E10</f>
        <v>1304</v>
      </c>
      <c r="G110" s="29" t="str">
        <f>Юг!F10</f>
        <v>"Japfruit ComLTD"</v>
      </c>
      <c r="H110" s="30">
        <f>Юг!G10</f>
        <v>46071</v>
      </c>
      <c r="I110" s="30">
        <f>Юг!H10</f>
        <v>46071</v>
      </c>
      <c r="J110" s="30">
        <f>Юг!I10</f>
        <v>46072</v>
      </c>
      <c r="K110" s="29" t="str">
        <f>Юг!J10</f>
        <v>Дост. в срок</v>
      </c>
      <c r="L110" s="27">
        <f t="shared" si="7"/>
        <v>10</v>
      </c>
    </row>
    <row r="111" spans="1:12" x14ac:dyDescent="0.3">
      <c r="A111" s="25" t="str">
        <f t="shared" si="6"/>
        <v>Юг</v>
      </c>
      <c r="B111" s="29" t="str">
        <f>Юг!A23</f>
        <v>Пастернак</v>
      </c>
      <c r="C111" s="29">
        <f>Юг!B23</f>
        <v>125</v>
      </c>
      <c r="D111" s="29">
        <f>Юг!C23</f>
        <v>19</v>
      </c>
      <c r="E111" s="29">
        <f>Юг!D23</f>
        <v>4</v>
      </c>
      <c r="F111" s="29">
        <f>Юг!E23</f>
        <v>2375</v>
      </c>
      <c r="G111" s="29" t="str">
        <f>Юг!F23</f>
        <v>&lt;&lt;ООО&gt;&gt;"Зарница"</v>
      </c>
      <c r="H111" s="30">
        <f>Юг!G23</f>
        <v>46070</v>
      </c>
      <c r="I111" s="30">
        <f>Юг!H23</f>
        <v>46070</v>
      </c>
      <c r="J111" s="30">
        <f>Юг!I23</f>
        <v>46076</v>
      </c>
      <c r="K111" s="29" t="str">
        <f>Юг!J23</f>
        <v>Дост. в срок</v>
      </c>
      <c r="L111" s="27">
        <f t="shared" si="7"/>
        <v>23</v>
      </c>
    </row>
    <row r="112" spans="1:12" x14ac:dyDescent="0.3">
      <c r="A112" s="25" t="str">
        <f t="shared" si="6"/>
        <v>Юг</v>
      </c>
      <c r="B112" s="29" t="str">
        <f>Юг!A21</f>
        <v>Морковь</v>
      </c>
      <c r="C112" s="29">
        <f>Юг!B21</f>
        <v>80</v>
      </c>
      <c r="D112" s="29">
        <f>Юг!C21</f>
        <v>40</v>
      </c>
      <c r="E112" s="29">
        <f>Юг!D21</f>
        <v>10</v>
      </c>
      <c r="F112" s="29">
        <f>Юг!E21</f>
        <v>3200</v>
      </c>
      <c r="G112" s="29" t="str">
        <f>Юг!F21</f>
        <v>&lt;&lt;ООО&gt;&gt;"Зарница"</v>
      </c>
      <c r="H112" s="30">
        <f>Юг!G21</f>
        <v>46070</v>
      </c>
      <c r="I112" s="30">
        <f>Юг!H21</f>
        <v>46070</v>
      </c>
      <c r="J112" s="30">
        <f>Юг!I21</f>
        <v>46075</v>
      </c>
      <c r="K112" s="29" t="str">
        <f>Юг!J21</f>
        <v>Дост. в срок</v>
      </c>
      <c r="L112" s="27">
        <f t="shared" si="7"/>
        <v>50</v>
      </c>
    </row>
    <row r="113" spans="1:12" x14ac:dyDescent="0.3">
      <c r="A113" s="25" t="str">
        <f t="shared" si="6"/>
        <v>Юг</v>
      </c>
      <c r="B113" s="29" t="str">
        <f>Юг!A7</f>
        <v>Авокадо</v>
      </c>
      <c r="C113" s="29">
        <f>Юг!B7</f>
        <v>260</v>
      </c>
      <c r="D113" s="29">
        <f>Юг!C7</f>
        <v>13</v>
      </c>
      <c r="E113" s="29">
        <f>Юг!D7</f>
        <v>3</v>
      </c>
      <c r="F113" s="29">
        <f>Юг!E7</f>
        <v>3380</v>
      </c>
      <c r="G113" s="29" t="str">
        <f>Юг!F7</f>
        <v>"Japfruit ComLTD"</v>
      </c>
      <c r="H113" s="30">
        <f>Юг!G7</f>
        <v>46071</v>
      </c>
      <c r="I113" s="30">
        <f>Юг!H7</f>
        <v>46071</v>
      </c>
      <c r="J113" s="30">
        <f>Юг!I7</f>
        <v>46076</v>
      </c>
      <c r="K113" s="29" t="str">
        <f>Юг!J7</f>
        <v>Дост. в срок</v>
      </c>
      <c r="L113" s="27">
        <f t="shared" si="7"/>
        <v>16</v>
      </c>
    </row>
    <row r="114" spans="1:12" x14ac:dyDescent="0.3">
      <c r="A114" s="25" t="str">
        <f t="shared" si="6"/>
        <v>Юг</v>
      </c>
      <c r="B114" s="29" t="str">
        <f>Юг!A9</f>
        <v>Дайкон</v>
      </c>
      <c r="C114" s="29">
        <f>Юг!B9</f>
        <v>130</v>
      </c>
      <c r="D114" s="29">
        <f>Юг!C9</f>
        <v>12</v>
      </c>
      <c r="E114" s="29">
        <f>Юг!D9</f>
        <v>3</v>
      </c>
      <c r="F114" s="29">
        <f>Юг!E9</f>
        <v>1560</v>
      </c>
      <c r="G114" s="29" t="str">
        <f>Юг!F9</f>
        <v>"Japfruit ComLTD"</v>
      </c>
      <c r="H114" s="30">
        <f>Юг!G9</f>
        <v>46071</v>
      </c>
      <c r="I114" s="30">
        <f>Юг!H9</f>
        <v>46071</v>
      </c>
      <c r="J114" s="30">
        <f>Юг!I9</f>
        <v>46072</v>
      </c>
      <c r="K114" s="29" t="str">
        <f>Юг!J9</f>
        <v>Дост. в срок</v>
      </c>
      <c r="L114" s="27">
        <f t="shared" si="7"/>
        <v>15</v>
      </c>
    </row>
    <row r="115" spans="1:12" x14ac:dyDescent="0.3">
      <c r="A115" s="25" t="str">
        <f t="shared" si="6"/>
        <v>Юг</v>
      </c>
      <c r="B115" s="29" t="str">
        <f>Юг!A27</f>
        <v>Редька</v>
      </c>
      <c r="C115" s="29">
        <f>Юг!B27</f>
        <v>90</v>
      </c>
      <c r="D115" s="29">
        <f>Юг!C27</f>
        <v>18</v>
      </c>
      <c r="E115" s="29">
        <f>Юг!D27</f>
        <v>4</v>
      </c>
      <c r="F115" s="29">
        <f>Юг!E27</f>
        <v>1620</v>
      </c>
      <c r="G115" s="29" t="str">
        <f>Юг!F27</f>
        <v>&lt;&lt;ООО&gt;&gt;"Зарница"</v>
      </c>
      <c r="H115" s="30">
        <f>Юг!G27</f>
        <v>46070</v>
      </c>
      <c r="I115" s="30">
        <f>Юг!H27</f>
        <v>46070</v>
      </c>
      <c r="J115" s="30">
        <f>Юг!I27</f>
        <v>46076</v>
      </c>
      <c r="K115" s="29" t="str">
        <f>Юг!J27</f>
        <v>Дост. в срок</v>
      </c>
      <c r="L115" s="27">
        <f t="shared" si="7"/>
        <v>22</v>
      </c>
    </row>
    <row r="116" spans="1:12" x14ac:dyDescent="0.3">
      <c r="A116" s="25" t="str">
        <f t="shared" si="6"/>
        <v>Юг</v>
      </c>
      <c r="B116" s="29" t="str">
        <f>Юг!A13</f>
        <v>Топинамбур</v>
      </c>
      <c r="C116" s="29">
        <f>Юг!B13</f>
        <v>105</v>
      </c>
      <c r="D116" s="29">
        <f>Юг!C13</f>
        <v>13</v>
      </c>
      <c r="E116" s="29">
        <f>Юг!D13</f>
        <v>3</v>
      </c>
      <c r="F116" s="29">
        <f>Юг!E13</f>
        <v>1365</v>
      </c>
      <c r="G116" s="29" t="str">
        <f>Юг!F13</f>
        <v>"Japfruit ComLTD"</v>
      </c>
      <c r="H116" s="30">
        <f>Юг!G13</f>
        <v>46071</v>
      </c>
      <c r="I116" s="30">
        <f>Юг!H13</f>
        <v>46071</v>
      </c>
      <c r="J116" s="30">
        <f>Юг!I13</f>
        <v>46076</v>
      </c>
      <c r="K116" s="29" t="str">
        <f>Юг!J13</f>
        <v>Дост. в срок</v>
      </c>
      <c r="L116" s="27">
        <f t="shared" si="7"/>
        <v>16</v>
      </c>
    </row>
    <row r="117" spans="1:12" x14ac:dyDescent="0.3">
      <c r="A117" s="25" t="str">
        <f t="shared" si="6"/>
        <v>Юг</v>
      </c>
      <c r="B117" s="29" t="str">
        <f>Юг!A11</f>
        <v>Сельдерей</v>
      </c>
      <c r="C117" s="29">
        <f>Юг!B11</f>
        <v>120</v>
      </c>
      <c r="D117" s="29">
        <f>Юг!C11</f>
        <v>2</v>
      </c>
      <c r="E117" s="29">
        <f>Юг!D11</f>
        <v>0</v>
      </c>
      <c r="F117" s="29">
        <f>Юг!E11</f>
        <v>240</v>
      </c>
      <c r="G117" s="29" t="str">
        <f>Юг!F11</f>
        <v>"Japfruit ComLTD"</v>
      </c>
      <c r="H117" s="30">
        <f>Юг!G11</f>
        <v>46071</v>
      </c>
      <c r="I117" s="30">
        <f>Юг!H11</f>
        <v>46071</v>
      </c>
      <c r="J117" s="30">
        <f>Юг!I11</f>
        <v>46075</v>
      </c>
      <c r="K117" s="29" t="str">
        <f>Юг!J11</f>
        <v>Дост. в срок</v>
      </c>
      <c r="L117" s="27">
        <f t="shared" si="7"/>
        <v>2</v>
      </c>
    </row>
    <row r="118" spans="1:12" x14ac:dyDescent="0.3">
      <c r="A118" s="25" t="str">
        <f t="shared" si="6"/>
        <v>Юг</v>
      </c>
      <c r="B118" s="29" t="str">
        <f>Юг!A30</f>
        <v>Тыква</v>
      </c>
      <c r="C118" s="29">
        <f>Юг!B30</f>
        <v>67</v>
      </c>
      <c r="D118" s="29">
        <f>Юг!C30</f>
        <v>75</v>
      </c>
      <c r="E118" s="29">
        <f>Юг!D30</f>
        <v>18</v>
      </c>
      <c r="F118" s="29">
        <f>Юг!E30</f>
        <v>5025</v>
      </c>
      <c r="G118" s="29" t="str">
        <f>Юг!F30</f>
        <v>&lt;&lt;ООО&gt;&gt;"Зарница"</v>
      </c>
      <c r="H118" s="30">
        <f>Юг!G30</f>
        <v>46070</v>
      </c>
      <c r="I118" s="30">
        <f>Юг!H30</f>
        <v>46070</v>
      </c>
      <c r="J118" s="30">
        <f>Юг!I30</f>
        <v>46076</v>
      </c>
      <c r="K118" s="29" t="str">
        <f>Юг!J30</f>
        <v>Дост. в срок</v>
      </c>
      <c r="L118" s="27">
        <f t="shared" si="7"/>
        <v>93</v>
      </c>
    </row>
    <row r="119" spans="1:12" x14ac:dyDescent="0.3">
      <c r="A119" s="25" t="str">
        <f t="shared" si="6"/>
        <v>Юг</v>
      </c>
      <c r="B119" s="29" t="str">
        <f>Юг!A8</f>
        <v>Батат</v>
      </c>
      <c r="C119" s="29">
        <f>Юг!B8</f>
        <v>142</v>
      </c>
      <c r="D119" s="29">
        <f>Юг!C8</f>
        <v>17</v>
      </c>
      <c r="E119" s="29">
        <f>Юг!D8</f>
        <v>4</v>
      </c>
      <c r="F119" s="29">
        <f>Юг!E8</f>
        <v>2414</v>
      </c>
      <c r="G119" s="29" t="str">
        <f>Юг!F8</f>
        <v>"Japfruit ComLTD"</v>
      </c>
      <c r="H119" s="30">
        <f>Юг!G8</f>
        <v>46071</v>
      </c>
      <c r="I119" s="30">
        <f>Юг!H8</f>
        <v>46071</v>
      </c>
      <c r="J119" s="30">
        <f>Юг!I8</f>
        <v>46072</v>
      </c>
      <c r="K119" s="29" t="str">
        <f>Юг!J8</f>
        <v>Дост. в срок</v>
      </c>
      <c r="L119" s="27">
        <f t="shared" si="7"/>
        <v>21</v>
      </c>
    </row>
    <row r="120" spans="1:12" x14ac:dyDescent="0.3">
      <c r="A120" s="25" t="str">
        <f t="shared" si="6"/>
        <v>Юг</v>
      </c>
      <c r="B120" s="29" t="str">
        <f>Юг!A26</f>
        <v>Редис</v>
      </c>
      <c r="C120" s="29">
        <f>Юг!B26</f>
        <v>95</v>
      </c>
      <c r="D120" s="29">
        <f>Юг!C26</f>
        <v>16</v>
      </c>
      <c r="E120" s="29">
        <f>Юг!D26</f>
        <v>4</v>
      </c>
      <c r="F120" s="29">
        <f>Юг!E26</f>
        <v>1520</v>
      </c>
      <c r="G120" s="29" t="str">
        <f>Юг!F26</f>
        <v>&lt;&lt;ООО&gt;&gt;"Зарница"</v>
      </c>
      <c r="H120" s="30">
        <f>Юг!G26</f>
        <v>46070</v>
      </c>
      <c r="I120" s="30">
        <f>Юг!H26</f>
        <v>46070</v>
      </c>
      <c r="J120" s="30">
        <f>Юг!I26</f>
        <v>46076</v>
      </c>
      <c r="K120" s="29" t="str">
        <f>Юг!J26</f>
        <v>Дост. в срок</v>
      </c>
      <c r="L120" s="27">
        <f t="shared" si="7"/>
        <v>20</v>
      </c>
    </row>
    <row r="121" spans="1:12" x14ac:dyDescent="0.3">
      <c r="A121" s="25" t="str">
        <f t="shared" si="6"/>
        <v>Юг</v>
      </c>
      <c r="B121" s="29" t="str">
        <f>Юг!A25</f>
        <v>Помидоры</v>
      </c>
      <c r="C121" s="29">
        <f>Юг!B25</f>
        <v>88</v>
      </c>
      <c r="D121" s="29">
        <f>Юг!C25</f>
        <v>150</v>
      </c>
      <c r="E121" s="29">
        <f>Юг!D25</f>
        <v>37</v>
      </c>
      <c r="F121" s="29">
        <f>Юг!E25</f>
        <v>13200</v>
      </c>
      <c r="G121" s="29" t="str">
        <f>Юг!F25</f>
        <v>&lt;&lt;ООО&gt;&gt;"Зарница"</v>
      </c>
      <c r="H121" s="30">
        <f>Юг!G25</f>
        <v>46070</v>
      </c>
      <c r="I121" s="30">
        <f>Юг!H25</f>
        <v>46070</v>
      </c>
      <c r="J121" s="30">
        <f>Юг!I25</f>
        <v>46072</v>
      </c>
      <c r="K121" s="29" t="str">
        <f>Юг!J25</f>
        <v>Дост. в срок</v>
      </c>
      <c r="L121" s="27">
        <f t="shared" si="7"/>
        <v>187</v>
      </c>
    </row>
  </sheetData>
  <pageMargins left="0.70078740157480324" right="0.70078740157480324" top="0.75196850393700787" bottom="0.75196850393700787" header="0.3" footer="0.3"/>
  <pageSetup paperSize="9" orientation="portrait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cols>
    <col min="1" max="1" width="19.33203125" bestFit="1"/>
    <col min="2" max="2" width="17.88671875" bestFit="1"/>
  </cols>
  <sheetData>
    <row r="1" spans="1:2" x14ac:dyDescent="0.3">
      <c r="A1" t="s">
        <v>46</v>
      </c>
      <c r="B1" t="s">
        <v>56</v>
      </c>
    </row>
    <row r="2" spans="1:2" x14ac:dyDescent="0.3">
      <c r="A2" s="28" t="s">
        <v>11</v>
      </c>
      <c r="B2">
        <v>886</v>
      </c>
    </row>
    <row r="3" spans="1:2" x14ac:dyDescent="0.3">
      <c r="A3" s="28" t="s">
        <v>17</v>
      </c>
      <c r="B3">
        <v>356</v>
      </c>
    </row>
    <row r="4" spans="1:2" x14ac:dyDescent="0.3">
      <c r="A4" s="28" t="s">
        <v>25</v>
      </c>
      <c r="B4">
        <v>3785</v>
      </c>
    </row>
    <row r="5" spans="1:2" x14ac:dyDescent="0.3">
      <c r="A5" s="28" t="s">
        <v>55</v>
      </c>
      <c r="B5">
        <v>5027</v>
      </c>
    </row>
  </sheetData>
  <pageMargins left="0.70078740157480324" right="0.70078740157480324" top="0.75196850393700787" bottom="0.75196850393700787" header="0.3" footer="0.3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 x14ac:dyDescent="0.3"/>
  <cols>
    <col min="1" max="1" width="19.33203125" bestFit="1"/>
    <col min="2" max="2" width="25" bestFit="1"/>
    <col min="3" max="3" width="18.77734375" bestFit="1"/>
  </cols>
  <sheetData>
    <row r="1" spans="1:2" x14ac:dyDescent="0.3">
      <c r="A1" t="s">
        <v>0</v>
      </c>
      <c r="B1" t="s">
        <v>15</v>
      </c>
    </row>
    <row r="3" spans="1:2" x14ac:dyDescent="0.3">
      <c r="A3" t="s">
        <v>46</v>
      </c>
      <c r="B3" t="s">
        <v>57</v>
      </c>
    </row>
    <row r="4" spans="1:2" x14ac:dyDescent="0.3">
      <c r="A4" s="28" t="s">
        <v>51</v>
      </c>
      <c r="B4">
        <v>35000</v>
      </c>
    </row>
    <row r="5" spans="1:2" x14ac:dyDescent="0.3">
      <c r="A5" s="28" t="s">
        <v>52</v>
      </c>
      <c r="B5">
        <v>40</v>
      </c>
    </row>
    <row r="6" spans="1:2" x14ac:dyDescent="0.3">
      <c r="A6" s="28" t="s">
        <v>53</v>
      </c>
      <c r="B6">
        <v>350</v>
      </c>
    </row>
    <row r="7" spans="1:2" x14ac:dyDescent="0.3">
      <c r="A7" s="28" t="s">
        <v>54</v>
      </c>
      <c r="B7">
        <v>35</v>
      </c>
    </row>
    <row r="8" spans="1:2" x14ac:dyDescent="0.3">
      <c r="A8" s="28" t="s">
        <v>55</v>
      </c>
      <c r="B8">
        <v>35425</v>
      </c>
    </row>
  </sheetData>
  <pageMargins left="0.70078740157480324" right="0.70078740157480324" top="0.75196850393700787" bottom="0.75196850393700787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Юг</vt:lpstr>
      <vt:lpstr>Север</vt:lpstr>
      <vt:lpstr>Запад</vt:lpstr>
      <vt:lpstr>Восток</vt:lpstr>
      <vt:lpstr>Для сводной</vt:lpstr>
      <vt:lpstr>Поставщики</vt:lpstr>
      <vt:lpstr>Яблоки</vt:lpstr>
      <vt:lpstr>БазаЗапад</vt:lpstr>
      <vt:lpstr>БазаЮг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Джулай</dc:creator>
  <cp:lastModifiedBy>Екатерина Джулай</cp:lastModifiedBy>
  <cp:revision>6</cp:revision>
  <dcterms:created xsi:type="dcterms:W3CDTF">2015-06-05T18:19:34Z</dcterms:created>
  <dcterms:modified xsi:type="dcterms:W3CDTF">2026-07-11T17:03:24Z</dcterms:modified>
</cp:coreProperties>
</file>